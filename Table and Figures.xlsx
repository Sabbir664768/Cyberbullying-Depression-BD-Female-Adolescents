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ll data\BAHW\Cybelbullying and depression\Tables\"/>
    </mc:Choice>
  </mc:AlternateContent>
  <xr:revisionPtr revIDLastSave="0" documentId="13_ncr:1_{3BFF112F-EFA1-40E9-8E70-15AC530AF808}" xr6:coauthVersionLast="47" xr6:coauthVersionMax="47" xr10:uidLastSave="{00000000-0000-0000-0000-000000000000}"/>
  <bookViews>
    <workbookView xWindow="-120" yWindow="-120" windowWidth="20730" windowHeight="11160" activeTab="2" xr2:uid="{9724B16B-6CB3-4E64-87BE-E8B7CD945A97}"/>
  </bookViews>
  <sheets>
    <sheet name="Graphicals" sheetId="4" r:id="rId1"/>
    <sheet name="Descriptive and Bivariates" sheetId="2" r:id="rId2"/>
    <sheet name="Model" sheetId="5" r:id="rId3"/>
    <sheet name="Model_Cyber" sheetId="1" state="hidden" r:id="rId4"/>
    <sheet name="Sheet1" sheetId="6" state="hidden" r:id="rId5"/>
    <sheet name="Graphicals_setting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3" l="1"/>
  <c r="M26" i="3"/>
  <c r="M27" i="3"/>
  <c r="M28" i="3"/>
  <c r="M24" i="3"/>
  <c r="L25" i="3"/>
  <c r="L26" i="3"/>
  <c r="L27" i="3"/>
  <c r="L28" i="3"/>
  <c r="L24" i="3"/>
</calcChain>
</file>

<file path=xl/sharedStrings.xml><?xml version="1.0" encoding="utf-8"?>
<sst xmlns="http://schemas.openxmlformats.org/spreadsheetml/2006/main" count="360" uniqueCount="175">
  <si>
    <t>Yes</t>
  </si>
  <si>
    <t>Ever married</t>
  </si>
  <si>
    <t>10+</t>
  </si>
  <si>
    <t>Barisal</t>
  </si>
  <si>
    <t>Chittagong</t>
  </si>
  <si>
    <t>Khulna</t>
  </si>
  <si>
    <t>Rajshahi</t>
  </si>
  <si>
    <t>Rangpur</t>
  </si>
  <si>
    <t>Sylhet</t>
  </si>
  <si>
    <t>Mymensingh</t>
  </si>
  <si>
    <t>4366 (87.6)</t>
  </si>
  <si>
    <t>618 (12.4)</t>
  </si>
  <si>
    <t>1014 (20.3)</t>
  </si>
  <si>
    <t>1105 (22.2)</t>
  </si>
  <si>
    <t>1032 (20.7)</t>
  </si>
  <si>
    <t>1041 (20.9)</t>
  </si>
  <si>
    <t>792 (15.9)</t>
  </si>
  <si>
    <t xml:space="preserve"> </t>
  </si>
  <si>
    <t>2962 (59.4)</t>
  </si>
  <si>
    <t>2022 (40.6)</t>
  </si>
  <si>
    <t>4548 (91.2)</t>
  </si>
  <si>
    <t>437 (8.8)</t>
  </si>
  <si>
    <t>709 (14.2)</t>
  </si>
  <si>
    <t>2698 (54.2)</t>
  </si>
  <si>
    <t>1575 (31.6)</t>
  </si>
  <si>
    <t>2128 (42.7)</t>
  </si>
  <si>
    <t>1087 (21.8)</t>
  </si>
  <si>
    <t>1768 (35.5)</t>
  </si>
  <si>
    <t>3267 (65.5)</t>
  </si>
  <si>
    <t>1717 (34.5)</t>
  </si>
  <si>
    <t>4155 (83.4)</t>
  </si>
  <si>
    <t>829 (16.6)</t>
  </si>
  <si>
    <t>3512 (70.5)</t>
  </si>
  <si>
    <t>1472 (29.5)</t>
  </si>
  <si>
    <t>332 (6.7)</t>
  </si>
  <si>
    <t>963 (19.3)</t>
  </si>
  <si>
    <t>1222 (24.5)</t>
  </si>
  <si>
    <t>543 (10.9)</t>
  </si>
  <si>
    <t>649 (13)</t>
  </si>
  <si>
    <t>589 (11.8)</t>
  </si>
  <si>
    <t>300 (6)</t>
  </si>
  <si>
    <t>386 (7.7)</t>
  </si>
  <si>
    <t>No</t>
  </si>
  <si>
    <t>Never Married</t>
  </si>
  <si>
    <t>&gt;=5</t>
  </si>
  <si>
    <t>Poor</t>
  </si>
  <si>
    <t>Middle</t>
  </si>
  <si>
    <t>Rich</t>
  </si>
  <si>
    <t>Rural</t>
  </si>
  <si>
    <t>Urban</t>
  </si>
  <si>
    <t>Dhaka</t>
  </si>
  <si>
    <t>Major depressive symptoms</t>
  </si>
  <si>
    <t>Age of respondesnts</t>
  </si>
  <si>
    <t>Mariatal status</t>
  </si>
  <si>
    <t>Currently Working</t>
  </si>
  <si>
    <t>Years of schooling</t>
  </si>
  <si>
    <t>6 to 9 years</t>
  </si>
  <si>
    <t>Wealth index</t>
  </si>
  <si>
    <t>Own mobile phone</t>
  </si>
  <si>
    <t>Use facebook</t>
  </si>
  <si>
    <t>Area of residence</t>
  </si>
  <si>
    <t>Division</t>
  </si>
  <si>
    <t>Variables</t>
  </si>
  <si>
    <t>Total</t>
  </si>
  <si>
    <t>4584 (92.0)</t>
  </si>
  <si>
    <t>400 (8.0)</t>
  </si>
  <si>
    <t xml:space="preserve">4984 (100) </t>
  </si>
  <si>
    <t>n (col %)</t>
  </si>
  <si>
    <t>n (row %)</t>
  </si>
  <si>
    <t>Cybebullying</t>
  </si>
  <si>
    <t>p-value</t>
  </si>
  <si>
    <t>Adjusted OR</t>
  </si>
  <si>
    <t>LCL</t>
  </si>
  <si>
    <t>UCL</t>
  </si>
  <si>
    <t>&lt;0.001</t>
  </si>
  <si>
    <t>&lt;= 5 years</t>
  </si>
  <si>
    <t>10 or more years</t>
  </si>
  <si>
    <t>ref</t>
  </si>
  <si>
    <t>Perpetrator</t>
  </si>
  <si>
    <t>NA</t>
  </si>
  <si>
    <t>Other family members</t>
  </si>
  <si>
    <t>Teachers</t>
  </si>
  <si>
    <t>Friends/classmates</t>
  </si>
  <si>
    <t>Neighbor</t>
  </si>
  <si>
    <t>Unknown person</t>
  </si>
  <si>
    <t xml:space="preserve">Once/twice	</t>
  </si>
  <si>
    <t>Category</t>
  </si>
  <si>
    <t>%</t>
  </si>
  <si>
    <t xml:space="preserve">2-4 times	 </t>
  </si>
  <si>
    <t xml:space="preserve">5 or more times	</t>
  </si>
  <si>
    <t>Cyberbullying</t>
  </si>
  <si>
    <t>Times faced cyberbullying</t>
  </si>
  <si>
    <t>Husband/ in-laws</t>
  </si>
  <si>
    <t>Marital status</t>
  </si>
  <si>
    <t>Missing</t>
  </si>
  <si>
    <t>2 (0.0)</t>
  </si>
  <si>
    <t>Depression</t>
  </si>
  <si>
    <t>Age</t>
  </si>
  <si>
    <t>Marital Status</t>
  </si>
  <si>
    <t>Own phone</t>
  </si>
  <si>
    <t>`</t>
  </si>
  <si>
    <t>Undjusted OR</t>
  </si>
  <si>
    <t>Used Facebook</t>
  </si>
  <si>
    <t>DIVISION</t>
  </si>
  <si>
    <t>MDD%</t>
  </si>
  <si>
    <t>4093 (89.3)</t>
  </si>
  <si>
    <t>492 (10.7)</t>
  </si>
  <si>
    <t>274 (68.4)</t>
  </si>
  <si>
    <t>126 (31.6)</t>
  </si>
  <si>
    <t>910 (89.7)</t>
  </si>
  <si>
    <t>104 (10.3)</t>
  </si>
  <si>
    <t>988 (89.4)</t>
  </si>
  <si>
    <t>117 (10.6)</t>
  </si>
  <si>
    <t>892 (86.4)</t>
  </si>
  <si>
    <t>140 (13.6)</t>
  </si>
  <si>
    <t>920 (88.4)</t>
  </si>
  <si>
    <t>121 (11.6)</t>
  </si>
  <si>
    <t>655 (82.8)</t>
  </si>
  <si>
    <t>136 (17.2)</t>
  </si>
  <si>
    <t>2633 (88.9)</t>
  </si>
  <si>
    <t>329 (11.1)</t>
  </si>
  <si>
    <t>1733 (85.7)</t>
  </si>
  <si>
    <t>289 (14.3)</t>
  </si>
  <si>
    <t>4000 (88)</t>
  </si>
  <si>
    <t>548 (12)</t>
  </si>
  <si>
    <t>366 (83.9)</t>
  </si>
  <si>
    <t>70 (16.1)</t>
  </si>
  <si>
    <t>581 (82)</t>
  </si>
  <si>
    <t>128 (18)</t>
  </si>
  <si>
    <t>2392 (88.7)</t>
  </si>
  <si>
    <t>306 (11.3)</t>
  </si>
  <si>
    <t>1391 (88.3)</t>
  </si>
  <si>
    <t>184 (11.7)</t>
  </si>
  <si>
    <t>1831 (86.1)</t>
  </si>
  <si>
    <t>297 (13.9)</t>
  </si>
  <si>
    <t>965 (88.7)</t>
  </si>
  <si>
    <t>122 (11.3)</t>
  </si>
  <si>
    <t>1570 (88.8)</t>
  </si>
  <si>
    <t>199 (11.2)</t>
  </si>
  <si>
    <t>2884 (88.3)</t>
  </si>
  <si>
    <t>383 (11.7)</t>
  </si>
  <si>
    <t>1482 (86.3)</t>
  </si>
  <si>
    <t>235 (13.7)</t>
  </si>
  <si>
    <t>3671 (88.3)</t>
  </si>
  <si>
    <t>484 (11.7)</t>
  </si>
  <si>
    <t>695 (83.9)</t>
  </si>
  <si>
    <t>134 (16.1)</t>
  </si>
  <si>
    <t>3101 (88.3)</t>
  </si>
  <si>
    <t>412 (11.7)</t>
  </si>
  <si>
    <t>1266 (86)</t>
  </si>
  <si>
    <t>206 (14)</t>
  </si>
  <si>
    <t>284 (85.6)</t>
  </si>
  <si>
    <t>48 (14.4)</t>
  </si>
  <si>
    <t>828 (85.9)</t>
  </si>
  <si>
    <t>135 (14.1)</t>
  </si>
  <si>
    <t>1086 (88.8)</t>
  </si>
  <si>
    <t>137 (11.2)</t>
  </si>
  <si>
    <t>474 (87.2)</t>
  </si>
  <si>
    <t>70 (12.8)</t>
  </si>
  <si>
    <t>601 (92.6)</t>
  </si>
  <si>
    <t>48 (7.4)</t>
  </si>
  <si>
    <t>517 (87.9)</t>
  </si>
  <si>
    <t>71 (12.1)</t>
  </si>
  <si>
    <t>259 (86.4)</t>
  </si>
  <si>
    <t>41 (13.6)</t>
  </si>
  <si>
    <t>317 (82.3)</t>
  </si>
  <si>
    <t>68 (17.7)</t>
  </si>
  <si>
    <t>area</t>
  </si>
  <si>
    <t>PHQ</t>
  </si>
  <si>
    <t>Percentage (%)</t>
  </si>
  <si>
    <t>No (0–4)</t>
  </si>
  <si>
    <t xml:space="preserve">Mild (5–9) </t>
  </si>
  <si>
    <t>Moderate (10–14)</t>
  </si>
  <si>
    <t>Moderately severe (15–19)</t>
  </si>
  <si>
    <t>Severe (20–27)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</si>
</sst>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16" fontId="2" fillId="0" borderId="0" xfId="0" applyNumberFormat="1" applyFont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indent="3"/>
    </xf>
    <xf numFmtId="16" fontId="2" fillId="0" borderId="1" xfId="0" applyNumberFormat="1" applyFont="1" applyBorder="1" applyAlignment="1">
      <alignment horizontal="left" indent="3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5" xfId="0" applyFont="1" applyFill="1" applyBorder="1"/>
    <xf numFmtId="0" fontId="3" fillId="2" borderId="3" xfId="0" applyFont="1" applyFill="1" applyBorder="1"/>
    <xf numFmtId="0" fontId="0" fillId="0" borderId="6" xfId="0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indent="2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6" fontId="2" fillId="0" borderId="1" xfId="0" applyNumberFormat="1" applyFont="1" applyBorder="1" applyAlignment="1">
      <alignment horizontal="left" indent="2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5" fillId="0" borderId="0" xfId="0" applyFont="1"/>
    <xf numFmtId="0" fontId="6" fillId="0" borderId="0" xfId="0" applyFont="1"/>
    <xf numFmtId="2" fontId="2" fillId="0" borderId="0" xfId="0" applyNumberFormat="1" applyFont="1"/>
    <xf numFmtId="16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F9999"/>
      <color rgb="FFFFC6AD"/>
      <color rgb="FFFF4F4F"/>
      <color rgb="FFFF797C"/>
      <color rgb="FFFFC5C5"/>
      <color rgb="FFFA0000"/>
      <color rgb="FFFF5357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Sheet1!$G$6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81-4F86-9F22-83EB4AEF33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81-4F86-9F22-83EB4AEF33B6}"/>
              </c:ext>
            </c:extLst>
          </c:dPt>
          <c:dPt>
            <c:idx val="2"/>
            <c:bubble3D val="0"/>
            <c:explosion val="48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FC6-421F-8801-A2DF7F159515}"/>
              </c:ext>
            </c:extLst>
          </c:dPt>
          <c:dPt>
            <c:idx val="3"/>
            <c:bubble3D val="0"/>
            <c:explosion val="3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C6-421F-8801-A2DF7F159515}"/>
              </c:ext>
            </c:extLst>
          </c:dPt>
          <c:dPt>
            <c:idx val="4"/>
            <c:bubble3D val="0"/>
            <c:explosion val="3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FC6-421F-8801-A2DF7F159515}"/>
              </c:ext>
            </c:extLst>
          </c:dPt>
          <c:cat>
            <c:strRef>
              <c:f>Sheet1!$F$7:$F$11</c:f>
              <c:strCache>
                <c:ptCount val="5"/>
                <c:pt idx="0">
                  <c:v>No (0–4)</c:v>
                </c:pt>
                <c:pt idx="1">
                  <c:v>Mild (5–9) </c:v>
                </c:pt>
                <c:pt idx="2">
                  <c:v>Moderate (10–14)</c:v>
                </c:pt>
                <c:pt idx="3">
                  <c:v>Moderately severe (15–19)</c:v>
                </c:pt>
                <c:pt idx="4">
                  <c:v>Severe (20–27)</c:v>
                </c:pt>
              </c:strCache>
            </c:strRef>
          </c:cat>
          <c:val>
            <c:numRef>
              <c:f>Sheet1!$G$7:$G$11</c:f>
              <c:numCache>
                <c:formatCode>0.0</c:formatCode>
                <c:ptCount val="5"/>
                <c:pt idx="0">
                  <c:v>48.6</c:v>
                </c:pt>
                <c:pt idx="1">
                  <c:v>39</c:v>
                </c:pt>
                <c:pt idx="2">
                  <c:v>9.9700000000000006</c:v>
                </c:pt>
                <c:pt idx="3">
                  <c:v>1.99</c:v>
                </c:pt>
                <c:pt idx="4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6-421F-8801-A2DF7F159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17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Prevalence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 major depressive symptoms by cyberbullying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5A-46B6-8727-A098EEE86FDA}"/>
              </c:ext>
            </c:extLst>
          </c:dPt>
          <c:dPt>
            <c:idx val="1"/>
            <c:invertIfNegative val="0"/>
            <c:bubble3D val="0"/>
            <c:spPr>
              <a:solidFill>
                <a:srgbClr val="FF99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5A-46B6-8727-A098EEE86FDA}"/>
              </c:ext>
            </c:extLst>
          </c:dPt>
          <c:dPt>
            <c:idx val="2"/>
            <c:invertIfNegative val="0"/>
            <c:bubble3D val="0"/>
            <c:spPr>
              <a:solidFill>
                <a:srgbClr val="FFC5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8B-4ECB-B21A-D2FAED9F7772}"/>
              </c:ext>
            </c:extLst>
          </c:dPt>
          <c:dPt>
            <c:idx val="3"/>
            <c:invertIfNegative val="0"/>
            <c:bubble3D val="0"/>
            <c:spPr>
              <a:solidFill>
                <a:srgbClr val="FF79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5A-46B6-8727-A098EEE86FDA}"/>
              </c:ext>
            </c:extLst>
          </c:dPt>
          <c:dPt>
            <c:idx val="4"/>
            <c:invertIfNegative val="0"/>
            <c:bubble3D val="0"/>
            <c:spPr>
              <a:solidFill>
                <a:srgbClr val="FF4F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5A-46B6-8727-A098EEE86F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Graphicals_setting!$M$24:$M$28</c:f>
                <c:numCache>
                  <c:formatCode>General</c:formatCode>
                  <c:ptCount val="5"/>
                  <c:pt idx="0">
                    <c:v>1.3000000000000007</c:v>
                  </c:pt>
                  <c:pt idx="1">
                    <c:v>4.9800000000000004</c:v>
                  </c:pt>
                  <c:pt idx="2">
                    <c:v>11.400000000000002</c:v>
                  </c:pt>
                  <c:pt idx="3">
                    <c:v>8.11</c:v>
                  </c:pt>
                  <c:pt idx="4">
                    <c:v>9.7800000000000011</c:v>
                  </c:pt>
                </c:numCache>
              </c:numRef>
            </c:plus>
            <c:minus>
              <c:numRef>
                <c:f>Graphicals_setting!$L$24:$L$28</c:f>
                <c:numCache>
                  <c:formatCode>General</c:formatCode>
                  <c:ptCount val="5"/>
                  <c:pt idx="0">
                    <c:v>1.0999999999999996</c:v>
                  </c:pt>
                  <c:pt idx="1">
                    <c:v>4.620000000000001</c:v>
                  </c:pt>
                  <c:pt idx="2">
                    <c:v>8.5</c:v>
                  </c:pt>
                  <c:pt idx="3">
                    <c:v>6.9899999999999984</c:v>
                  </c:pt>
                  <c:pt idx="4">
                    <c:v>8.9199999999999982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>
                <a:outerShdw dir="5400000" algn="ctr" rotWithShape="0">
                  <a:srgbClr val="000000"/>
                </a:outerShdw>
              </a:effectLst>
            </c:spPr>
          </c:errBars>
          <c:cat>
            <c:multiLvlStrRef>
              <c:f>Graphicals_setting!$G$24:$H$28</c:f>
              <c:multiLvlStrCache>
                <c:ptCount val="5"/>
                <c:lvl>
                  <c:pt idx="0">
                    <c:v>No</c:v>
                  </c:pt>
                  <c:pt idx="1">
                    <c:v>Yes</c:v>
                  </c:pt>
                  <c:pt idx="2">
                    <c:v>Once/twice	</c:v>
                  </c:pt>
                  <c:pt idx="3">
                    <c:v>2-4 times	 </c:v>
                  </c:pt>
                  <c:pt idx="4">
                    <c:v>5 or more times	</c:v>
                  </c:pt>
                </c:lvl>
                <c:lvl>
                  <c:pt idx="0">
                    <c:v>Cyberbullying</c:v>
                  </c:pt>
                  <c:pt idx="2">
                    <c:v>Times faced cyberbullying</c:v>
                  </c:pt>
                </c:lvl>
              </c:multiLvlStrCache>
            </c:multiLvlStrRef>
          </c:cat>
          <c:val>
            <c:numRef>
              <c:f>Graphicals_setting!$I$24:$I$28</c:f>
              <c:numCache>
                <c:formatCode>General</c:formatCode>
                <c:ptCount val="5"/>
                <c:pt idx="0">
                  <c:v>10.7</c:v>
                </c:pt>
                <c:pt idx="1">
                  <c:v>31.62</c:v>
                </c:pt>
                <c:pt idx="2" formatCode="0.0">
                  <c:v>23.2</c:v>
                </c:pt>
                <c:pt idx="3" formatCode="0.0">
                  <c:v>29.29</c:v>
                </c:pt>
                <c:pt idx="4" formatCode="0.0">
                  <c:v>38.22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A-46B6-8727-A098EEE8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64"/>
        <c:axId val="99615935"/>
        <c:axId val="99618335"/>
      </c:barChart>
      <c:catAx>
        <c:axId val="996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618335"/>
        <c:crosses val="autoZero"/>
        <c:auto val="1"/>
        <c:lblAlgn val="ctr"/>
        <c:lblOffset val="100"/>
        <c:noMultiLvlLbl val="0"/>
      </c:catAx>
      <c:valAx>
        <c:axId val="99618335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Prevalence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6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75078</xdr:colOff>
      <xdr:row>28</xdr:row>
      <xdr:rowOff>54908</xdr:rowOff>
    </xdr:from>
    <xdr:to>
      <xdr:col>18</xdr:col>
      <xdr:colOff>532278</xdr:colOff>
      <xdr:row>48</xdr:row>
      <xdr:rowOff>131108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778747-AFD2-FDAD-5498-A9FEF60BA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784" y="5456143"/>
          <a:ext cx="7718612" cy="3886200"/>
        </a:xfrm>
        <a:prstGeom prst="rect">
          <a:avLst/>
        </a:prstGeom>
      </xdr:spPr>
    </xdr:pic>
    <xdr:clientData/>
  </xdr:twoCellAnchor>
  <xdr:twoCellAnchor editAs="oneCell">
    <xdr:from>
      <xdr:col>6</xdr:col>
      <xdr:colOff>67235</xdr:colOff>
      <xdr:row>2</xdr:row>
      <xdr:rowOff>91440</xdr:rowOff>
    </xdr:from>
    <xdr:to>
      <xdr:col>18</xdr:col>
      <xdr:colOff>521664</xdr:colOff>
      <xdr:row>27</xdr:row>
      <xdr:rowOff>32657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9D9283-52AC-2F22-6518-BD8217D06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697941" y="472440"/>
          <a:ext cx="7715841" cy="477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91109</xdr:colOff>
      <xdr:row>1</xdr:row>
      <xdr:rowOff>147430</xdr:rowOff>
    </xdr:from>
    <xdr:to>
      <xdr:col>17</xdr:col>
      <xdr:colOff>395909</xdr:colOff>
      <xdr:row>16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6E6E7-AA49-3328-33AC-C21381396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95249</xdr:colOff>
      <xdr:row>23</xdr:row>
      <xdr:rowOff>195254</xdr:rowOff>
    </xdr:from>
    <xdr:to>
      <xdr:col>24</xdr:col>
      <xdr:colOff>16328</xdr:colOff>
      <xdr:row>49</xdr:row>
      <xdr:rowOff>11665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A00DE-E13B-6BBD-241A-A557FB79EE3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0.44801</cdr:x>
      <cdr:y>0.08469</cdr:y>
    </cdr:from>
    <cdr:to>
      <cdr:x>0.44801</cdr:x>
      <cdr:y>0.85005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FBF0F74-8475-5106-FAAD-FBB0E1947CDF}"/>
            </a:ext>
          </a:extLst>
        </cdr:cNvPr>
        <cdr:cNvCxnSpPr/>
      </cdr:nvCxnSpPr>
      <cdr:spPr>
        <a:xfrm xmlns:a="http://schemas.openxmlformats.org/drawingml/2006/main" flipV="1">
          <a:off x="3476626" y="404715"/>
          <a:ext cx="0" cy="365760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CFC3-C9D1-4CCE-92FB-ECE9AA06241A}">
  <dimension ref="A10:E15"/>
  <sheetViews>
    <sheetView zoomScale="85" zoomScaleNormal="85" workbookViewId="0">
      <selection activeCell="D23" sqref="D23"/>
    </sheetView>
  </sheetViews>
  <sheetFormatPr defaultRowHeight="15" x14ac:dyDescent="0.25"/>
  <cols>
    <col min="22" max="22" width="26.28515625" customWidth="1"/>
    <col min="23" max="23" width="14" customWidth="1"/>
  </cols>
  <sheetData>
    <row r="10" spans="1:5" ht="15.75" x14ac:dyDescent="0.25">
      <c r="A10" s="29"/>
      <c r="B10" s="29" t="s">
        <v>86</v>
      </c>
      <c r="C10" s="29" t="s">
        <v>104</v>
      </c>
      <c r="D10" s="29" t="s">
        <v>72</v>
      </c>
      <c r="E10" s="29" t="s">
        <v>73</v>
      </c>
    </row>
    <row r="11" spans="1:5" ht="15.75" x14ac:dyDescent="0.25">
      <c r="A11" s="36" t="s">
        <v>90</v>
      </c>
      <c r="B11" s="30" t="s">
        <v>42</v>
      </c>
      <c r="C11" s="30">
        <v>10.7</v>
      </c>
      <c r="D11" s="30">
        <v>9.6</v>
      </c>
      <c r="E11" s="30">
        <v>12</v>
      </c>
    </row>
    <row r="12" spans="1:5" ht="15.75" x14ac:dyDescent="0.25">
      <c r="A12" s="36"/>
      <c r="B12" s="30" t="s">
        <v>0</v>
      </c>
      <c r="C12" s="30">
        <v>31.62</v>
      </c>
      <c r="D12" s="30">
        <v>27</v>
      </c>
      <c r="E12" s="30">
        <v>36.6</v>
      </c>
    </row>
    <row r="13" spans="1:5" ht="15.75" x14ac:dyDescent="0.25">
      <c r="A13" s="37" t="s">
        <v>91</v>
      </c>
      <c r="B13" s="30" t="s">
        <v>85</v>
      </c>
      <c r="C13" s="30">
        <v>23.2</v>
      </c>
      <c r="D13" s="30">
        <v>14.7</v>
      </c>
      <c r="E13" s="30">
        <v>34.6</v>
      </c>
    </row>
    <row r="14" spans="1:5" ht="15.75" x14ac:dyDescent="0.25">
      <c r="A14" s="37"/>
      <c r="B14" s="30" t="s">
        <v>88</v>
      </c>
      <c r="C14" s="30">
        <v>29.29</v>
      </c>
      <c r="D14" s="30">
        <v>22.3</v>
      </c>
      <c r="E14" s="30">
        <v>37.4</v>
      </c>
    </row>
    <row r="15" spans="1:5" ht="15.75" x14ac:dyDescent="0.25">
      <c r="A15" s="37"/>
      <c r="B15" s="30" t="s">
        <v>89</v>
      </c>
      <c r="C15" s="30">
        <v>38.22</v>
      </c>
      <c r="D15" s="30">
        <v>29.3</v>
      </c>
      <c r="E15" s="30">
        <v>48</v>
      </c>
    </row>
  </sheetData>
  <mergeCells count="2">
    <mergeCell ref="A11:A12"/>
    <mergeCell ref="A13:A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D68D-A0AA-4F5E-A868-7CDE5931CC16}">
  <dimension ref="E2:I47"/>
  <sheetViews>
    <sheetView topLeftCell="D4" workbookViewId="0">
      <selection activeCell="E2" sqref="E2:H8"/>
    </sheetView>
  </sheetViews>
  <sheetFormatPr defaultRowHeight="15.75" x14ac:dyDescent="0.25"/>
  <cols>
    <col min="1" max="4" width="9.140625" style="1"/>
    <col min="5" max="5" width="28.28515625" style="1" customWidth="1"/>
    <col min="6" max="6" width="15.42578125" style="1" customWidth="1"/>
    <col min="7" max="7" width="17.7109375" style="1" customWidth="1"/>
    <col min="8" max="8" width="13.28515625" style="1" customWidth="1"/>
    <col min="9" max="16384" width="9.140625" style="1"/>
  </cols>
  <sheetData>
    <row r="2" spans="5:9" x14ac:dyDescent="0.25">
      <c r="E2" s="39" t="s">
        <v>62</v>
      </c>
      <c r="F2" s="10"/>
      <c r="G2" s="38" t="s">
        <v>51</v>
      </c>
      <c r="H2" s="38"/>
      <c r="I2" s="28"/>
    </row>
    <row r="3" spans="5:9" x14ac:dyDescent="0.25">
      <c r="E3" s="39"/>
      <c r="F3" s="40" t="s">
        <v>67</v>
      </c>
      <c r="G3" s="7" t="s">
        <v>42</v>
      </c>
      <c r="H3" s="7" t="s">
        <v>0</v>
      </c>
      <c r="I3" s="42" t="s">
        <v>70</v>
      </c>
    </row>
    <row r="4" spans="5:9" x14ac:dyDescent="0.25">
      <c r="E4" s="39"/>
      <c r="F4" s="41"/>
      <c r="G4" s="7" t="s">
        <v>68</v>
      </c>
      <c r="H4" s="7" t="s">
        <v>68</v>
      </c>
      <c r="I4" s="42"/>
    </row>
    <row r="5" spans="5:9" x14ac:dyDescent="0.25">
      <c r="E5" s="19" t="s">
        <v>63</v>
      </c>
      <c r="F5" s="20" t="s">
        <v>66</v>
      </c>
      <c r="G5" s="20" t="s">
        <v>10</v>
      </c>
      <c r="H5" s="20" t="s">
        <v>11</v>
      </c>
      <c r="I5" s="20"/>
    </row>
    <row r="6" spans="5:9" x14ac:dyDescent="0.25">
      <c r="E6" s="19" t="s">
        <v>90</v>
      </c>
      <c r="F6" s="4"/>
      <c r="G6" s="8"/>
      <c r="H6" s="8"/>
      <c r="I6" s="8"/>
    </row>
    <row r="7" spans="5:9" x14ac:dyDescent="0.25">
      <c r="E7" s="22" t="s">
        <v>42</v>
      </c>
      <c r="F7" s="8" t="s">
        <v>64</v>
      </c>
      <c r="G7" s="8" t="s">
        <v>105</v>
      </c>
      <c r="H7" s="8" t="s">
        <v>106</v>
      </c>
      <c r="I7" s="8" t="s">
        <v>74</v>
      </c>
    </row>
    <row r="8" spans="5:9" x14ac:dyDescent="0.25">
      <c r="E8" s="22" t="s">
        <v>0</v>
      </c>
      <c r="F8" s="8" t="s">
        <v>65</v>
      </c>
      <c r="G8" s="8" t="s">
        <v>107</v>
      </c>
      <c r="H8" s="8" t="s">
        <v>108</v>
      </c>
      <c r="I8" s="8"/>
    </row>
    <row r="9" spans="5:9" x14ac:dyDescent="0.25">
      <c r="E9" s="19" t="s">
        <v>52</v>
      </c>
      <c r="F9" s="8"/>
      <c r="G9" s="8" t="s">
        <v>17</v>
      </c>
      <c r="H9" s="8" t="s">
        <v>17</v>
      </c>
      <c r="I9" s="8"/>
    </row>
    <row r="10" spans="5:9" x14ac:dyDescent="0.25">
      <c r="E10" s="5">
        <v>15</v>
      </c>
      <c r="F10" s="8" t="s">
        <v>12</v>
      </c>
      <c r="G10" s="8" t="s">
        <v>109</v>
      </c>
      <c r="H10" s="8" t="s">
        <v>110</v>
      </c>
      <c r="I10" s="8"/>
    </row>
    <row r="11" spans="5:9" x14ac:dyDescent="0.25">
      <c r="E11" s="5">
        <v>16</v>
      </c>
      <c r="F11" s="8" t="s">
        <v>13</v>
      </c>
      <c r="G11" s="8" t="s">
        <v>111</v>
      </c>
      <c r="H11" s="8" t="s">
        <v>112</v>
      </c>
      <c r="I11" s="8">
        <v>1E-3</v>
      </c>
    </row>
    <row r="12" spans="5:9" x14ac:dyDescent="0.25">
      <c r="E12" s="5">
        <v>17</v>
      </c>
      <c r="F12" s="8" t="s">
        <v>14</v>
      </c>
      <c r="G12" s="8" t="s">
        <v>113</v>
      </c>
      <c r="H12" s="8" t="s">
        <v>114</v>
      </c>
      <c r="I12" s="8"/>
    </row>
    <row r="13" spans="5:9" x14ac:dyDescent="0.25">
      <c r="E13" s="5">
        <v>18</v>
      </c>
      <c r="F13" s="8" t="s">
        <v>15</v>
      </c>
      <c r="G13" s="8" t="s">
        <v>115</v>
      </c>
      <c r="H13" s="8" t="s">
        <v>116</v>
      </c>
      <c r="I13" s="8"/>
    </row>
    <row r="14" spans="5:9" x14ac:dyDescent="0.25">
      <c r="E14" s="5">
        <v>19</v>
      </c>
      <c r="F14" s="8" t="s">
        <v>16</v>
      </c>
      <c r="G14" s="8" t="s">
        <v>117</v>
      </c>
      <c r="H14" s="8" t="s">
        <v>118</v>
      </c>
      <c r="I14" s="8"/>
    </row>
    <row r="15" spans="5:9" x14ac:dyDescent="0.25">
      <c r="E15" s="19" t="s">
        <v>53</v>
      </c>
      <c r="F15" s="8" t="s">
        <v>17</v>
      </c>
      <c r="G15" s="8" t="s">
        <v>17</v>
      </c>
      <c r="H15" s="8" t="s">
        <v>17</v>
      </c>
      <c r="I15" s="8"/>
    </row>
    <row r="16" spans="5:9" x14ac:dyDescent="0.25">
      <c r="E16" s="5" t="s">
        <v>43</v>
      </c>
      <c r="F16" s="8" t="s">
        <v>18</v>
      </c>
      <c r="G16" s="8" t="s">
        <v>119</v>
      </c>
      <c r="H16" s="8" t="s">
        <v>120</v>
      </c>
      <c r="I16" s="8">
        <v>2E-3</v>
      </c>
    </row>
    <row r="17" spans="5:9" x14ac:dyDescent="0.25">
      <c r="E17" s="5" t="s">
        <v>1</v>
      </c>
      <c r="F17" s="8" t="s">
        <v>19</v>
      </c>
      <c r="G17" s="8" t="s">
        <v>121</v>
      </c>
      <c r="H17" s="8" t="s">
        <v>122</v>
      </c>
      <c r="I17" s="8"/>
    </row>
    <row r="18" spans="5:9" x14ac:dyDescent="0.25">
      <c r="E18" s="19" t="s">
        <v>54</v>
      </c>
      <c r="F18" s="8" t="s">
        <v>17</v>
      </c>
      <c r="G18" s="8" t="s">
        <v>17</v>
      </c>
      <c r="H18" s="8" t="s">
        <v>17</v>
      </c>
      <c r="I18" s="8"/>
    </row>
    <row r="19" spans="5:9" x14ac:dyDescent="0.25">
      <c r="E19" s="5" t="s">
        <v>42</v>
      </c>
      <c r="F19" s="8" t="s">
        <v>20</v>
      </c>
      <c r="G19" s="8" t="s">
        <v>123</v>
      </c>
      <c r="H19" s="8" t="s">
        <v>124</v>
      </c>
      <c r="I19" s="8">
        <v>2.8000000000000001E-2</v>
      </c>
    </row>
    <row r="20" spans="5:9" x14ac:dyDescent="0.25">
      <c r="E20" s="5" t="s">
        <v>0</v>
      </c>
      <c r="F20" s="8" t="s">
        <v>21</v>
      </c>
      <c r="G20" s="8" t="s">
        <v>125</v>
      </c>
      <c r="H20" s="8" t="s">
        <v>126</v>
      </c>
      <c r="I20" s="8"/>
    </row>
    <row r="21" spans="5:9" x14ac:dyDescent="0.25">
      <c r="E21" s="19" t="s">
        <v>55</v>
      </c>
      <c r="F21" s="8" t="s">
        <v>17</v>
      </c>
      <c r="G21" s="8" t="s">
        <v>17</v>
      </c>
      <c r="H21" s="8" t="s">
        <v>17</v>
      </c>
      <c r="I21" s="8"/>
    </row>
    <row r="22" spans="5:9" x14ac:dyDescent="0.25">
      <c r="E22" s="5" t="s">
        <v>44</v>
      </c>
      <c r="F22" s="8" t="s">
        <v>22</v>
      </c>
      <c r="G22" s="8" t="s">
        <v>127</v>
      </c>
      <c r="H22" s="8" t="s">
        <v>128</v>
      </c>
      <c r="I22" s="8"/>
    </row>
    <row r="23" spans="5:9" x14ac:dyDescent="0.25">
      <c r="E23" s="6" t="s">
        <v>56</v>
      </c>
      <c r="F23" s="8" t="s">
        <v>23</v>
      </c>
      <c r="G23" s="8" t="s">
        <v>129</v>
      </c>
      <c r="H23" s="8" t="s">
        <v>130</v>
      </c>
      <c r="I23" s="8" t="s">
        <v>74</v>
      </c>
    </row>
    <row r="24" spans="5:9" x14ac:dyDescent="0.25">
      <c r="E24" s="5" t="s">
        <v>2</v>
      </c>
      <c r="F24" s="8" t="s">
        <v>24</v>
      </c>
      <c r="G24" s="8" t="s">
        <v>131</v>
      </c>
      <c r="H24" s="8" t="s">
        <v>132</v>
      </c>
      <c r="I24" s="8"/>
    </row>
    <row r="25" spans="5:9" x14ac:dyDescent="0.25">
      <c r="E25" s="5" t="s">
        <v>94</v>
      </c>
      <c r="F25" s="8" t="s">
        <v>95</v>
      </c>
      <c r="G25" s="8" t="s">
        <v>95</v>
      </c>
      <c r="H25" s="8" t="s">
        <v>17</v>
      </c>
      <c r="I25" s="8"/>
    </row>
    <row r="26" spans="5:9" x14ac:dyDescent="0.25">
      <c r="E26" s="19" t="s">
        <v>57</v>
      </c>
      <c r="F26" s="8" t="s">
        <v>17</v>
      </c>
      <c r="G26" s="8" t="s">
        <v>17</v>
      </c>
      <c r="H26" s="8" t="s">
        <v>17</v>
      </c>
      <c r="I26" s="8"/>
    </row>
    <row r="27" spans="5:9" x14ac:dyDescent="0.25">
      <c r="E27" s="5" t="s">
        <v>45</v>
      </c>
      <c r="F27" s="8" t="s">
        <v>25</v>
      </c>
      <c r="G27" s="8" t="s">
        <v>133</v>
      </c>
      <c r="H27" s="8" t="s">
        <v>134</v>
      </c>
      <c r="I27" s="8"/>
    </row>
    <row r="28" spans="5:9" x14ac:dyDescent="0.25">
      <c r="E28" s="5" t="s">
        <v>46</v>
      </c>
      <c r="F28" s="8" t="s">
        <v>26</v>
      </c>
      <c r="G28" s="8" t="s">
        <v>135</v>
      </c>
      <c r="H28" s="8" t="s">
        <v>136</v>
      </c>
      <c r="I28" s="8">
        <v>7.2599999999999998E-2</v>
      </c>
    </row>
    <row r="29" spans="5:9" x14ac:dyDescent="0.25">
      <c r="E29" s="5" t="s">
        <v>47</v>
      </c>
      <c r="F29" s="8" t="s">
        <v>27</v>
      </c>
      <c r="G29" s="8" t="s">
        <v>137</v>
      </c>
      <c r="H29" s="8" t="s">
        <v>138</v>
      </c>
      <c r="I29" s="8"/>
    </row>
    <row r="30" spans="5:9" x14ac:dyDescent="0.25">
      <c r="E30" s="19" t="s">
        <v>58</v>
      </c>
      <c r="F30" s="8" t="s">
        <v>17</v>
      </c>
      <c r="G30" s="8" t="s">
        <v>17</v>
      </c>
      <c r="H30" s="8" t="s">
        <v>17</v>
      </c>
      <c r="I30" s="8"/>
    </row>
    <row r="31" spans="5:9" x14ac:dyDescent="0.25">
      <c r="E31" s="5" t="s">
        <v>42</v>
      </c>
      <c r="F31" s="8" t="s">
        <v>28</v>
      </c>
      <c r="G31" s="8" t="s">
        <v>139</v>
      </c>
      <c r="H31" s="8" t="s">
        <v>140</v>
      </c>
      <c r="I31" s="8">
        <v>6.8000000000000005E-2</v>
      </c>
    </row>
    <row r="32" spans="5:9" x14ac:dyDescent="0.25">
      <c r="E32" s="5" t="s">
        <v>0</v>
      </c>
      <c r="F32" s="8" t="s">
        <v>29</v>
      </c>
      <c r="G32" s="8" t="s">
        <v>141</v>
      </c>
      <c r="H32" s="8" t="s">
        <v>142</v>
      </c>
      <c r="I32" s="8"/>
    </row>
    <row r="33" spans="5:9" x14ac:dyDescent="0.25">
      <c r="E33" s="19" t="s">
        <v>59</v>
      </c>
      <c r="F33" s="8" t="s">
        <v>17</v>
      </c>
      <c r="G33" s="8" t="s">
        <v>17</v>
      </c>
      <c r="H33" s="8" t="s">
        <v>17</v>
      </c>
      <c r="I33" s="8"/>
    </row>
    <row r="34" spans="5:9" x14ac:dyDescent="0.25">
      <c r="E34" s="5" t="s">
        <v>42</v>
      </c>
      <c r="F34" s="8" t="s">
        <v>30</v>
      </c>
      <c r="G34" s="8" t="s">
        <v>143</v>
      </c>
      <c r="H34" s="8" t="s">
        <v>144</v>
      </c>
      <c r="I34" s="8" t="s">
        <v>74</v>
      </c>
    </row>
    <row r="35" spans="5:9" x14ac:dyDescent="0.25">
      <c r="E35" s="5" t="s">
        <v>0</v>
      </c>
      <c r="F35" s="8" t="s">
        <v>31</v>
      </c>
      <c r="G35" s="8" t="s">
        <v>145</v>
      </c>
      <c r="H35" s="8" t="s">
        <v>146</v>
      </c>
      <c r="I35" s="8"/>
    </row>
    <row r="36" spans="5:9" x14ac:dyDescent="0.25">
      <c r="E36" s="19" t="s">
        <v>60</v>
      </c>
      <c r="F36" s="8" t="s">
        <v>17</v>
      </c>
      <c r="G36" s="8" t="s">
        <v>17</v>
      </c>
      <c r="H36" s="8" t="s">
        <v>17</v>
      </c>
      <c r="I36" s="8"/>
    </row>
    <row r="37" spans="5:9" x14ac:dyDescent="0.25">
      <c r="E37" s="5" t="s">
        <v>48</v>
      </c>
      <c r="F37" s="8" t="s">
        <v>32</v>
      </c>
      <c r="G37" s="8" t="s">
        <v>147</v>
      </c>
      <c r="H37" s="8" t="s">
        <v>148</v>
      </c>
      <c r="I37" s="8">
        <v>0.11799999999999999</v>
      </c>
    </row>
    <row r="38" spans="5:9" x14ac:dyDescent="0.25">
      <c r="E38" s="5" t="s">
        <v>49</v>
      </c>
      <c r="F38" s="8" t="s">
        <v>33</v>
      </c>
      <c r="G38" s="8" t="s">
        <v>149</v>
      </c>
      <c r="H38" s="8" t="s">
        <v>150</v>
      </c>
      <c r="I38" s="8"/>
    </row>
    <row r="39" spans="5:9" x14ac:dyDescent="0.25">
      <c r="E39" s="19" t="s">
        <v>61</v>
      </c>
      <c r="F39" s="8" t="s">
        <v>17</v>
      </c>
      <c r="G39" s="8" t="s">
        <v>17</v>
      </c>
      <c r="H39" s="8" t="s">
        <v>17</v>
      </c>
      <c r="I39" s="8"/>
    </row>
    <row r="40" spans="5:9" x14ac:dyDescent="0.25">
      <c r="E40" s="5" t="s">
        <v>3</v>
      </c>
      <c r="F40" s="8" t="s">
        <v>34</v>
      </c>
      <c r="G40" s="8" t="s">
        <v>151</v>
      </c>
      <c r="H40" s="8" t="s">
        <v>152</v>
      </c>
      <c r="I40" s="8"/>
    </row>
    <row r="41" spans="5:9" x14ac:dyDescent="0.25">
      <c r="E41" s="5" t="s">
        <v>4</v>
      </c>
      <c r="F41" s="8" t="s">
        <v>35</v>
      </c>
      <c r="G41" s="8" t="s">
        <v>153</v>
      </c>
      <c r="H41" s="8" t="s">
        <v>154</v>
      </c>
      <c r="I41" s="8"/>
    </row>
    <row r="42" spans="5:9" x14ac:dyDescent="0.25">
      <c r="E42" s="5" t="s">
        <v>50</v>
      </c>
      <c r="F42" s="8" t="s">
        <v>36</v>
      </c>
      <c r="G42" s="8" t="s">
        <v>155</v>
      </c>
      <c r="H42" s="8" t="s">
        <v>156</v>
      </c>
      <c r="I42" s="8">
        <v>4.0000000000000001E-3</v>
      </c>
    </row>
    <row r="43" spans="5:9" x14ac:dyDescent="0.25">
      <c r="E43" s="5" t="s">
        <v>5</v>
      </c>
      <c r="F43" s="8" t="s">
        <v>37</v>
      </c>
      <c r="G43" s="8" t="s">
        <v>157</v>
      </c>
      <c r="H43" s="8" t="s">
        <v>158</v>
      </c>
      <c r="I43" s="8"/>
    </row>
    <row r="44" spans="5:9" x14ac:dyDescent="0.25">
      <c r="E44" s="5" t="s">
        <v>6</v>
      </c>
      <c r="F44" s="8" t="s">
        <v>38</v>
      </c>
      <c r="G44" s="8" t="s">
        <v>159</v>
      </c>
      <c r="H44" s="8" t="s">
        <v>160</v>
      </c>
      <c r="I44" s="8"/>
    </row>
    <row r="45" spans="5:9" x14ac:dyDescent="0.25">
      <c r="E45" s="5" t="s">
        <v>7</v>
      </c>
      <c r="F45" s="8" t="s">
        <v>39</v>
      </c>
      <c r="G45" s="8" t="s">
        <v>161</v>
      </c>
      <c r="H45" s="8" t="s">
        <v>162</v>
      </c>
      <c r="I45" s="8"/>
    </row>
    <row r="46" spans="5:9" x14ac:dyDescent="0.25">
      <c r="E46" s="5" t="s">
        <v>8</v>
      </c>
      <c r="F46" s="8" t="s">
        <v>40</v>
      </c>
      <c r="G46" s="8" t="s">
        <v>163</v>
      </c>
      <c r="H46" s="8" t="s">
        <v>164</v>
      </c>
      <c r="I46" s="8"/>
    </row>
    <row r="47" spans="5:9" x14ac:dyDescent="0.25">
      <c r="E47" s="5" t="s">
        <v>9</v>
      </c>
      <c r="F47" s="8" t="s">
        <v>41</v>
      </c>
      <c r="G47" s="8" t="s">
        <v>165</v>
      </c>
      <c r="H47" s="8" t="s">
        <v>166</v>
      </c>
      <c r="I47" s="8"/>
    </row>
  </sheetData>
  <mergeCells count="4">
    <mergeCell ref="G2:H2"/>
    <mergeCell ref="E2:E4"/>
    <mergeCell ref="F3:F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DCC7-44EB-4941-B417-7560C99315B4}">
  <dimension ref="D3:P44"/>
  <sheetViews>
    <sheetView tabSelected="1" zoomScale="85" zoomScaleNormal="85" workbookViewId="0">
      <selection activeCell="I6" sqref="I6:K6"/>
    </sheetView>
  </sheetViews>
  <sheetFormatPr defaultRowHeight="15" x14ac:dyDescent="0.25"/>
  <cols>
    <col min="4" max="4" width="26.140625" customWidth="1"/>
    <col min="5" max="5" width="18.140625" customWidth="1"/>
    <col min="6" max="6" width="12.85546875" customWidth="1"/>
    <col min="7" max="7" width="13" customWidth="1"/>
    <col min="8" max="8" width="11.5703125" customWidth="1"/>
    <col min="9" max="9" width="15.5703125" customWidth="1"/>
    <col min="12" max="12" width="9" customWidth="1"/>
  </cols>
  <sheetData>
    <row r="3" spans="4:12" ht="18.75" x14ac:dyDescent="0.25">
      <c r="D3" s="27" t="s">
        <v>62</v>
      </c>
      <c r="E3" s="21" t="s">
        <v>101</v>
      </c>
      <c r="F3" s="21" t="s">
        <v>72</v>
      </c>
      <c r="G3" s="21" t="s">
        <v>73</v>
      </c>
      <c r="H3" s="21" t="s">
        <v>70</v>
      </c>
      <c r="I3" s="21" t="s">
        <v>71</v>
      </c>
      <c r="J3" s="21" t="s">
        <v>72</v>
      </c>
      <c r="K3" s="21" t="s">
        <v>73</v>
      </c>
      <c r="L3" s="21" t="s">
        <v>70</v>
      </c>
    </row>
    <row r="4" spans="4:12" ht="15.75" x14ac:dyDescent="0.25">
      <c r="D4" s="19" t="s">
        <v>90</v>
      </c>
      <c r="E4" s="4"/>
      <c r="F4" s="4"/>
      <c r="G4" s="4"/>
      <c r="H4" s="4"/>
      <c r="I4" s="4"/>
      <c r="J4" s="4"/>
      <c r="K4" s="4"/>
      <c r="L4" s="4"/>
    </row>
    <row r="5" spans="4:12" ht="15.75" x14ac:dyDescent="0.25">
      <c r="D5" s="22" t="s">
        <v>42</v>
      </c>
      <c r="E5" s="8" t="s">
        <v>77</v>
      </c>
      <c r="F5" s="4"/>
      <c r="G5" s="4"/>
      <c r="H5" s="4"/>
      <c r="I5" s="8" t="s">
        <v>77</v>
      </c>
      <c r="J5" s="8"/>
      <c r="K5" s="8"/>
      <c r="L5" s="8"/>
    </row>
    <row r="6" spans="4:12" ht="15.75" x14ac:dyDescent="0.25">
      <c r="D6" s="22" t="s">
        <v>0</v>
      </c>
      <c r="E6" s="23">
        <v>3.85</v>
      </c>
      <c r="F6" s="23">
        <v>2.96</v>
      </c>
      <c r="G6" s="23">
        <v>5.01</v>
      </c>
      <c r="H6" s="24" t="s">
        <v>74</v>
      </c>
      <c r="I6" s="23">
        <v>3.9720740000000001</v>
      </c>
      <c r="J6" s="23">
        <v>3.121375</v>
      </c>
      <c r="K6" s="23">
        <v>5.0546230000000003</v>
      </c>
      <c r="L6" s="25" t="s">
        <v>74</v>
      </c>
    </row>
    <row r="7" spans="4:12" ht="15.75" x14ac:dyDescent="0.25">
      <c r="D7" s="19" t="s">
        <v>97</v>
      </c>
      <c r="E7" s="23"/>
      <c r="F7" s="23"/>
      <c r="G7" s="23"/>
      <c r="H7" s="24"/>
      <c r="I7" s="23"/>
      <c r="J7" s="23"/>
      <c r="K7" s="23"/>
      <c r="L7" s="25"/>
    </row>
    <row r="8" spans="4:12" ht="15.75" x14ac:dyDescent="0.25">
      <c r="D8" s="22">
        <v>15</v>
      </c>
      <c r="E8" s="8" t="s">
        <v>77</v>
      </c>
      <c r="F8" s="23"/>
      <c r="G8" s="23"/>
      <c r="H8" s="24"/>
      <c r="I8" s="23"/>
      <c r="J8" s="23"/>
      <c r="K8" s="23"/>
      <c r="L8" s="25"/>
    </row>
    <row r="9" spans="4:12" ht="15.75" x14ac:dyDescent="0.25">
      <c r="D9" s="22">
        <v>16</v>
      </c>
      <c r="E9" s="23">
        <v>1.0317970000000001</v>
      </c>
      <c r="F9" s="23">
        <v>0.70644609999999997</v>
      </c>
      <c r="G9" s="23">
        <v>1.506988</v>
      </c>
      <c r="H9" s="24">
        <v>0.871</v>
      </c>
      <c r="I9" s="23">
        <v>1.019733</v>
      </c>
      <c r="J9" s="23">
        <v>0.76369509999999996</v>
      </c>
      <c r="K9" s="23">
        <v>1.3616109999999999</v>
      </c>
      <c r="L9" s="25">
        <v>0.89500000000000002</v>
      </c>
    </row>
    <row r="10" spans="4:12" ht="15.75" x14ac:dyDescent="0.25">
      <c r="D10" s="22">
        <v>17</v>
      </c>
      <c r="E10" s="23">
        <v>1.3721479999999999</v>
      </c>
      <c r="F10" s="23">
        <v>1.002991</v>
      </c>
      <c r="G10" s="23">
        <v>1.877176</v>
      </c>
      <c r="H10" s="24">
        <v>4.8000000000000001E-2</v>
      </c>
      <c r="I10" s="23">
        <v>1.352479</v>
      </c>
      <c r="J10" s="23">
        <v>1.0051680000000001</v>
      </c>
      <c r="K10" s="23">
        <v>1.8197939999999999</v>
      </c>
      <c r="L10" s="25">
        <v>4.5999999999999999E-2</v>
      </c>
    </row>
    <row r="11" spans="4:12" ht="15.75" x14ac:dyDescent="0.25">
      <c r="D11" s="22">
        <v>18</v>
      </c>
      <c r="E11" s="23">
        <v>1.145324</v>
      </c>
      <c r="F11" s="23">
        <v>0.85618850000000002</v>
      </c>
      <c r="G11" s="23">
        <v>1.5321009999999999</v>
      </c>
      <c r="H11" s="24">
        <v>0.36</v>
      </c>
      <c r="I11" s="23">
        <v>1.0938110000000001</v>
      </c>
      <c r="J11" s="23">
        <v>0.79681729999999995</v>
      </c>
      <c r="K11" s="23">
        <v>1.501501</v>
      </c>
      <c r="L11" s="25">
        <v>0.57899999999999996</v>
      </c>
    </row>
    <row r="12" spans="4:12" ht="15.75" x14ac:dyDescent="0.25">
      <c r="D12" s="22">
        <v>19</v>
      </c>
      <c r="E12" s="23">
        <v>1.8176209999999999</v>
      </c>
      <c r="F12" s="23">
        <v>1.3711930000000001</v>
      </c>
      <c r="G12" s="23">
        <v>2.4093939999999998</v>
      </c>
      <c r="H12" s="24" t="s">
        <v>74</v>
      </c>
      <c r="I12" s="23">
        <v>1.7461409999999999</v>
      </c>
      <c r="J12" s="23">
        <v>1.257633</v>
      </c>
      <c r="K12" s="23">
        <v>2.424404</v>
      </c>
      <c r="L12" s="25">
        <v>1E-3</v>
      </c>
    </row>
    <row r="13" spans="4:12" ht="15.75" x14ac:dyDescent="0.25">
      <c r="D13" s="19" t="s">
        <v>98</v>
      </c>
      <c r="E13" s="23"/>
      <c r="F13" s="23"/>
      <c r="G13" s="23"/>
      <c r="H13" s="24"/>
      <c r="I13" s="23"/>
      <c r="J13" s="23"/>
      <c r="K13" s="23"/>
      <c r="L13" s="25"/>
    </row>
    <row r="14" spans="4:12" ht="15.75" x14ac:dyDescent="0.25">
      <c r="D14" s="22" t="s">
        <v>43</v>
      </c>
      <c r="E14" s="8" t="s">
        <v>77</v>
      </c>
      <c r="F14" s="23"/>
      <c r="G14" s="23"/>
      <c r="H14" s="24"/>
      <c r="I14" s="23"/>
      <c r="J14" s="23"/>
      <c r="K14" s="23"/>
      <c r="L14" s="25"/>
    </row>
    <row r="15" spans="4:12" ht="15.75" x14ac:dyDescent="0.25">
      <c r="D15" s="22" t="s">
        <v>1</v>
      </c>
      <c r="E15" s="23">
        <v>1.3302890000000001</v>
      </c>
      <c r="F15" s="23">
        <v>1.106676</v>
      </c>
      <c r="G15" s="23">
        <v>1.5990839999999999</v>
      </c>
      <c r="H15" s="24">
        <v>2E-3</v>
      </c>
      <c r="I15" s="23">
        <v>1.2425079999999999</v>
      </c>
      <c r="J15" s="23">
        <v>1.003903</v>
      </c>
      <c r="K15" s="23">
        <v>1.5378240000000001</v>
      </c>
      <c r="L15" s="25">
        <v>4.5999999999999999E-2</v>
      </c>
    </row>
    <row r="16" spans="4:12" ht="15.75" x14ac:dyDescent="0.25">
      <c r="D16" s="19" t="s">
        <v>54</v>
      </c>
      <c r="E16" s="23"/>
      <c r="F16" s="23"/>
      <c r="G16" s="23"/>
      <c r="H16" s="24"/>
      <c r="I16" s="23"/>
      <c r="J16" s="23"/>
      <c r="K16" s="23"/>
      <c r="L16" s="25"/>
    </row>
    <row r="17" spans="4:12" ht="15.75" x14ac:dyDescent="0.25">
      <c r="D17" s="5" t="s">
        <v>42</v>
      </c>
      <c r="E17" s="23"/>
      <c r="F17" s="23"/>
      <c r="G17" s="23"/>
      <c r="H17" s="24"/>
      <c r="I17" s="23"/>
      <c r="J17" s="23"/>
      <c r="K17" s="23"/>
      <c r="L17" s="25"/>
    </row>
    <row r="18" spans="4:12" ht="15.75" x14ac:dyDescent="0.25">
      <c r="D18" s="5" t="s">
        <v>0</v>
      </c>
      <c r="E18" s="23">
        <v>1.398209</v>
      </c>
      <c r="F18" s="23">
        <v>1.035755</v>
      </c>
      <c r="G18" s="23">
        <v>1.8875010000000001</v>
      </c>
      <c r="H18" s="24">
        <v>2.9000000000000001E-2</v>
      </c>
      <c r="I18" s="23">
        <v>1.4035759999999999</v>
      </c>
      <c r="J18" s="23">
        <v>1.0512459999999999</v>
      </c>
      <c r="K18" s="23">
        <v>1.873991</v>
      </c>
      <c r="L18" s="25">
        <v>2.1999999999999999E-2</v>
      </c>
    </row>
    <row r="19" spans="4:12" ht="15.75" x14ac:dyDescent="0.25">
      <c r="D19" s="19" t="s">
        <v>55</v>
      </c>
      <c r="E19" s="23"/>
      <c r="F19" s="23"/>
      <c r="G19" s="23"/>
      <c r="H19" s="24"/>
      <c r="I19" s="23"/>
      <c r="J19" s="23"/>
      <c r="K19" s="23"/>
      <c r="L19" s="25"/>
    </row>
    <row r="20" spans="4:12" ht="15.75" x14ac:dyDescent="0.25">
      <c r="D20" s="22" t="s">
        <v>75</v>
      </c>
      <c r="E20" s="8" t="s">
        <v>77</v>
      </c>
      <c r="F20" s="23"/>
      <c r="G20" s="23"/>
      <c r="H20" s="24"/>
      <c r="I20" s="23"/>
      <c r="J20" s="23"/>
      <c r="K20" s="23"/>
      <c r="L20" s="25"/>
    </row>
    <row r="21" spans="4:12" ht="15.75" x14ac:dyDescent="0.25">
      <c r="D21" s="26" t="s">
        <v>56</v>
      </c>
      <c r="E21" s="23">
        <v>0.58123860000000005</v>
      </c>
      <c r="F21" s="23">
        <v>0.4625899</v>
      </c>
      <c r="G21" s="23">
        <v>0.73031919999999995</v>
      </c>
      <c r="H21" s="25" t="s">
        <v>74</v>
      </c>
      <c r="I21" s="23">
        <v>0.66569699999999998</v>
      </c>
      <c r="J21" s="23">
        <v>0.52211929999999995</v>
      </c>
      <c r="K21" s="23">
        <v>0.84875719999999999</v>
      </c>
      <c r="L21" s="25">
        <v>1E-3</v>
      </c>
    </row>
    <row r="22" spans="4:12" ht="15.75" x14ac:dyDescent="0.25">
      <c r="D22" s="22" t="s">
        <v>76</v>
      </c>
      <c r="E22" s="23">
        <v>0.60169159999999999</v>
      </c>
      <c r="F22" s="23">
        <v>0.4630918</v>
      </c>
      <c r="G22" s="23">
        <v>0.7817733</v>
      </c>
      <c r="H22" s="25" t="s">
        <v>74</v>
      </c>
      <c r="I22" s="23">
        <v>0.53389019999999998</v>
      </c>
      <c r="J22" s="23">
        <v>0.40091359999999998</v>
      </c>
      <c r="K22" s="23">
        <v>0.71097310000000002</v>
      </c>
      <c r="L22" s="25" t="s">
        <v>74</v>
      </c>
    </row>
    <row r="23" spans="4:12" ht="15.75" x14ac:dyDescent="0.25">
      <c r="D23" s="19" t="s">
        <v>57</v>
      </c>
      <c r="E23" s="23"/>
      <c r="F23" s="23"/>
      <c r="G23" s="23"/>
      <c r="H23" s="24"/>
      <c r="I23" s="23"/>
      <c r="J23" s="23"/>
      <c r="K23" s="23"/>
      <c r="L23" s="25"/>
    </row>
    <row r="24" spans="4:12" ht="15.75" x14ac:dyDescent="0.25">
      <c r="D24" s="22" t="s">
        <v>45</v>
      </c>
      <c r="E24" s="23"/>
      <c r="F24" s="23"/>
      <c r="G24" s="23"/>
      <c r="H24" s="24"/>
      <c r="I24" s="23"/>
      <c r="J24" s="23"/>
      <c r="K24" s="23"/>
      <c r="L24" s="25"/>
    </row>
    <row r="25" spans="4:12" ht="15.75" x14ac:dyDescent="0.25">
      <c r="D25" s="22" t="s">
        <v>46</v>
      </c>
      <c r="E25" s="23">
        <v>0.78305950000000002</v>
      </c>
      <c r="F25" s="23">
        <v>0.61510790000000004</v>
      </c>
      <c r="G25" s="23">
        <v>0.99</v>
      </c>
      <c r="H25" s="24">
        <v>4.7E-2</v>
      </c>
      <c r="I25" s="23">
        <v>0.82210170000000005</v>
      </c>
      <c r="J25" s="23">
        <v>0.65195939999999997</v>
      </c>
      <c r="K25" s="23">
        <v>1.036646</v>
      </c>
      <c r="L25" s="25">
        <v>9.8000000000000004E-2</v>
      </c>
    </row>
    <row r="26" spans="4:12" ht="15.75" x14ac:dyDescent="0.25">
      <c r="D26" s="22" t="s">
        <v>47</v>
      </c>
      <c r="E26" s="23">
        <v>0.78072940000000002</v>
      </c>
      <c r="F26" s="23">
        <v>0.60299219999999998</v>
      </c>
      <c r="G26" s="23">
        <v>1.010856</v>
      </c>
      <c r="H26" s="24">
        <v>0.06</v>
      </c>
      <c r="I26" s="23">
        <v>0.78061369999999997</v>
      </c>
      <c r="J26" s="23">
        <v>0.63906079999999998</v>
      </c>
      <c r="K26" s="23">
        <v>0.9535207</v>
      </c>
      <c r="L26" s="25">
        <v>1.4999999999999999E-2</v>
      </c>
    </row>
    <row r="27" spans="4:12" ht="15.75" x14ac:dyDescent="0.25">
      <c r="D27" s="19" t="s">
        <v>99</v>
      </c>
      <c r="E27" s="23"/>
      <c r="F27" s="23"/>
      <c r="G27" s="23"/>
      <c r="H27" s="24"/>
      <c r="I27" s="23"/>
      <c r="J27" s="23"/>
      <c r="K27" s="23"/>
      <c r="L27" s="25"/>
    </row>
    <row r="28" spans="4:12" ht="15.75" x14ac:dyDescent="0.25">
      <c r="D28" s="22" t="s">
        <v>42</v>
      </c>
      <c r="E28" s="8" t="s">
        <v>77</v>
      </c>
      <c r="F28" s="23"/>
      <c r="G28" s="23"/>
      <c r="H28" s="24"/>
      <c r="I28" s="8"/>
      <c r="J28" s="23"/>
      <c r="K28" s="23"/>
      <c r="L28" s="25"/>
    </row>
    <row r="29" spans="4:12" ht="15.75" x14ac:dyDescent="0.25">
      <c r="D29" s="22" t="s">
        <v>0</v>
      </c>
      <c r="E29" s="23">
        <v>1.1934830000000001</v>
      </c>
      <c r="F29" s="23">
        <v>0.98708470000000004</v>
      </c>
      <c r="G29" s="23">
        <v>1.443039</v>
      </c>
      <c r="H29" s="24">
        <v>6.8000000000000005E-2</v>
      </c>
      <c r="I29" s="23">
        <v>0.89034139999999995</v>
      </c>
      <c r="J29" s="23">
        <v>0.72331579999999995</v>
      </c>
      <c r="K29" s="23">
        <v>1.095936</v>
      </c>
      <c r="L29" s="25">
        <v>0.27300000000000002</v>
      </c>
    </row>
    <row r="30" spans="4:12" ht="15.75" x14ac:dyDescent="0.25">
      <c r="D30" s="19" t="s">
        <v>102</v>
      </c>
      <c r="E30" s="23"/>
      <c r="F30" s="23"/>
      <c r="G30" s="23"/>
      <c r="H30" s="24"/>
      <c r="I30" s="23"/>
      <c r="J30" s="23"/>
      <c r="K30" s="23"/>
      <c r="L30" s="25"/>
    </row>
    <row r="31" spans="4:12" ht="15.75" x14ac:dyDescent="0.25">
      <c r="D31" s="22" t="s">
        <v>42</v>
      </c>
      <c r="E31" s="8" t="s">
        <v>77</v>
      </c>
      <c r="F31" s="23"/>
      <c r="G31" s="23"/>
      <c r="H31" s="24"/>
      <c r="I31" s="23"/>
      <c r="J31" s="23"/>
      <c r="K31" s="23"/>
      <c r="L31" s="25"/>
    </row>
    <row r="32" spans="4:12" ht="15.75" x14ac:dyDescent="0.25">
      <c r="D32" s="22" t="s">
        <v>0</v>
      </c>
      <c r="E32" s="23">
        <v>1.458026</v>
      </c>
      <c r="F32" s="23">
        <v>1.1811910000000001</v>
      </c>
      <c r="G32" s="23">
        <v>1.799742</v>
      </c>
      <c r="H32" s="24" t="s">
        <v>74</v>
      </c>
      <c r="I32" s="23">
        <v>1.418051</v>
      </c>
      <c r="J32" s="23">
        <v>1.1137779999999999</v>
      </c>
      <c r="K32" s="23">
        <v>1.8054479999999999</v>
      </c>
      <c r="L32" s="25">
        <v>5.0000000000000001E-3</v>
      </c>
    </row>
    <row r="33" spans="4:16" ht="15.75" x14ac:dyDescent="0.25">
      <c r="D33" s="19" t="s">
        <v>60</v>
      </c>
      <c r="E33" s="23"/>
      <c r="F33" s="23"/>
      <c r="G33" s="23"/>
      <c r="H33" s="24"/>
      <c r="I33" s="23"/>
      <c r="J33" s="23"/>
      <c r="K33" s="23"/>
      <c r="L33" s="25"/>
    </row>
    <row r="34" spans="4:16" ht="15.75" x14ac:dyDescent="0.25">
      <c r="D34" s="22" t="s">
        <v>48</v>
      </c>
      <c r="E34" s="23"/>
      <c r="F34" s="23"/>
      <c r="G34" s="23"/>
      <c r="H34" s="24"/>
      <c r="I34" s="23"/>
      <c r="J34" s="23"/>
      <c r="K34" s="23"/>
      <c r="L34" s="25"/>
      <c r="P34" s="32"/>
    </row>
    <row r="35" spans="4:16" ht="15.75" x14ac:dyDescent="0.25">
      <c r="D35" s="22" t="s">
        <v>49</v>
      </c>
      <c r="E35" s="23">
        <v>1.228556</v>
      </c>
      <c r="F35" s="23">
        <v>0.94842590000000004</v>
      </c>
      <c r="G35" s="23">
        <v>1.591426</v>
      </c>
      <c r="H35" s="24">
        <v>0.11899999999999999</v>
      </c>
      <c r="I35" s="23">
        <v>1.168849</v>
      </c>
      <c r="J35" s="23">
        <v>0.95100989999999996</v>
      </c>
      <c r="K35" s="23">
        <v>1.4365870000000001</v>
      </c>
      <c r="L35" s="25">
        <v>0.13800000000000001</v>
      </c>
    </row>
    <row r="36" spans="4:16" ht="15.75" x14ac:dyDescent="0.25">
      <c r="D36" s="19" t="s">
        <v>61</v>
      </c>
      <c r="E36" s="23"/>
      <c r="F36" s="23"/>
      <c r="G36" s="23"/>
      <c r="H36" s="24"/>
      <c r="I36" s="23"/>
      <c r="J36" s="23"/>
      <c r="K36" s="23"/>
      <c r="L36" s="25"/>
    </row>
    <row r="37" spans="4:16" ht="15.75" x14ac:dyDescent="0.25">
      <c r="D37" s="22" t="s">
        <v>50</v>
      </c>
      <c r="E37" s="8" t="s">
        <v>77</v>
      </c>
      <c r="F37" s="23"/>
      <c r="G37" s="23"/>
      <c r="H37" s="24"/>
      <c r="I37" s="23"/>
      <c r="J37" s="23"/>
      <c r="K37" s="23"/>
      <c r="L37" s="25"/>
    </row>
    <row r="38" spans="4:16" ht="15.75" x14ac:dyDescent="0.25">
      <c r="D38" s="22" t="s">
        <v>3</v>
      </c>
      <c r="E38" s="23">
        <v>1.3427990000000001</v>
      </c>
      <c r="F38" s="23">
        <v>0.91112550000000003</v>
      </c>
      <c r="G38" s="23">
        <v>1.9789909999999999</v>
      </c>
      <c r="H38" s="24">
        <v>0.13600000000000001</v>
      </c>
      <c r="I38" s="23">
        <v>1.3071809999999999</v>
      </c>
      <c r="J38" s="23">
        <v>0.90021770000000001</v>
      </c>
      <c r="K38" s="23">
        <v>1.8981220000000001</v>
      </c>
      <c r="L38" s="25">
        <v>0.159</v>
      </c>
    </row>
    <row r="39" spans="4:16" ht="15.75" x14ac:dyDescent="0.25">
      <c r="D39" s="22" t="s">
        <v>4</v>
      </c>
      <c r="E39" s="23">
        <v>1.3001400000000001</v>
      </c>
      <c r="F39" s="23">
        <v>0.88551139999999995</v>
      </c>
      <c r="G39" s="23">
        <v>1.908914</v>
      </c>
      <c r="H39" s="24">
        <v>0.18</v>
      </c>
      <c r="I39" s="23">
        <v>1.315437</v>
      </c>
      <c r="J39" s="23">
        <v>1.0049030000000001</v>
      </c>
      <c r="K39" s="23">
        <v>1.7219310000000001</v>
      </c>
      <c r="L39" s="25">
        <v>4.5999999999999999E-2</v>
      </c>
    </row>
    <row r="40" spans="4:16" ht="15.75" x14ac:dyDescent="0.25">
      <c r="D40" s="22" t="s">
        <v>5</v>
      </c>
      <c r="E40" s="23">
        <v>1.167681</v>
      </c>
      <c r="F40" s="23">
        <v>0.82144439999999996</v>
      </c>
      <c r="G40" s="23">
        <v>1.6598550000000001</v>
      </c>
      <c r="H40" s="24">
        <v>0.38700000000000001</v>
      </c>
      <c r="I40" s="23">
        <v>1.2453160000000001</v>
      </c>
      <c r="J40" s="23">
        <v>0.90251689999999996</v>
      </c>
      <c r="K40" s="23">
        <v>1.7183189999999999</v>
      </c>
      <c r="L40" s="25">
        <v>0.182</v>
      </c>
    </row>
    <row r="41" spans="4:16" ht="15.75" x14ac:dyDescent="0.25">
      <c r="D41" s="22" t="s">
        <v>6</v>
      </c>
      <c r="E41" s="23">
        <v>0.63593889999999997</v>
      </c>
      <c r="F41" s="23">
        <v>0.4401178</v>
      </c>
      <c r="G41" s="23">
        <v>0.91888650000000005</v>
      </c>
      <c r="H41" s="24">
        <v>1.6E-2</v>
      </c>
      <c r="I41" s="23">
        <v>0.65010749999999995</v>
      </c>
      <c r="J41" s="23">
        <v>0.4558411</v>
      </c>
      <c r="K41" s="23">
        <v>0.92716480000000001</v>
      </c>
      <c r="L41" s="25">
        <v>1.7000000000000001E-2</v>
      </c>
    </row>
    <row r="42" spans="4:16" ht="15.75" x14ac:dyDescent="0.25">
      <c r="D42" s="22" t="s">
        <v>7</v>
      </c>
      <c r="E42" s="23">
        <v>1.0962270000000001</v>
      </c>
      <c r="F42" s="23">
        <v>0.76243260000000002</v>
      </c>
      <c r="G42" s="23">
        <v>1.5761579999999999</v>
      </c>
      <c r="H42" s="24">
        <v>0.61899999999999999</v>
      </c>
      <c r="I42" s="23">
        <v>1.0851820000000001</v>
      </c>
      <c r="J42" s="23">
        <v>0.78674520000000003</v>
      </c>
      <c r="K42" s="23">
        <v>1.496826</v>
      </c>
      <c r="L42" s="25">
        <v>0.61799999999999999</v>
      </c>
    </row>
    <row r="43" spans="4:16" ht="15.75" x14ac:dyDescent="0.25">
      <c r="D43" s="22" t="s">
        <v>8</v>
      </c>
      <c r="E43" s="23">
        <v>1.257185</v>
      </c>
      <c r="F43" s="23">
        <v>0.89993350000000005</v>
      </c>
      <c r="G43" s="23">
        <v>1.7562549999999999</v>
      </c>
      <c r="H43" s="24">
        <v>0.17899999999999999</v>
      </c>
      <c r="I43" s="23">
        <v>1.434409</v>
      </c>
      <c r="J43" s="23">
        <v>0.97169019999999995</v>
      </c>
      <c r="K43" s="23">
        <v>2.1174750000000002</v>
      </c>
      <c r="L43" s="25">
        <v>6.9000000000000006E-2</v>
      </c>
    </row>
    <row r="44" spans="4:16" ht="15.75" x14ac:dyDescent="0.25">
      <c r="D44" s="22" t="s">
        <v>9</v>
      </c>
      <c r="E44" s="23">
        <v>1.7123809999999999</v>
      </c>
      <c r="F44" s="23">
        <v>1.2089350000000001</v>
      </c>
      <c r="G44" s="23">
        <v>2.425481</v>
      </c>
      <c r="H44" s="24">
        <v>3.0000000000000001E-3</v>
      </c>
      <c r="I44" s="23">
        <v>1.6589640000000001</v>
      </c>
      <c r="J44" s="23">
        <v>1.190685</v>
      </c>
      <c r="K44" s="23">
        <v>2.31141</v>
      </c>
      <c r="L44" s="25">
        <v>3.0000000000000001E-3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1F12-1E3D-4908-A867-261252E877D8}">
  <dimension ref="E2:U36"/>
  <sheetViews>
    <sheetView topLeftCell="D1" zoomScale="85" zoomScaleNormal="85" workbookViewId="0">
      <selection activeCell="R36" sqref="R36:U36"/>
    </sheetView>
  </sheetViews>
  <sheetFormatPr defaultRowHeight="15.75" x14ac:dyDescent="0.25"/>
  <cols>
    <col min="1" max="4" width="9.140625" style="1"/>
    <col min="5" max="5" width="26.140625" style="1" customWidth="1"/>
    <col min="6" max="6" width="18.140625" style="1" customWidth="1"/>
    <col min="7" max="7" width="12.85546875" style="1" customWidth="1"/>
    <col min="8" max="8" width="13" style="1" customWidth="1"/>
    <col min="9" max="9" width="11.5703125" style="1" customWidth="1"/>
    <col min="10" max="10" width="15.5703125" style="1" customWidth="1"/>
    <col min="11" max="12" width="9.140625" style="1"/>
    <col min="13" max="13" width="9" style="11" customWidth="1"/>
    <col min="14" max="16384" width="9.140625" style="1"/>
  </cols>
  <sheetData>
    <row r="2" spans="5:16" ht="48" customHeight="1" x14ac:dyDescent="0.25">
      <c r="E2" s="27" t="s">
        <v>62</v>
      </c>
      <c r="F2" s="21" t="s">
        <v>101</v>
      </c>
      <c r="G2" s="21" t="s">
        <v>72</v>
      </c>
      <c r="H2" s="21" t="s">
        <v>73</v>
      </c>
      <c r="I2" s="21" t="s">
        <v>70</v>
      </c>
      <c r="J2" s="21" t="s">
        <v>71</v>
      </c>
      <c r="K2" s="21" t="s">
        <v>72</v>
      </c>
      <c r="L2" s="21" t="s">
        <v>73</v>
      </c>
      <c r="M2" s="21" t="s">
        <v>70</v>
      </c>
    </row>
    <row r="3" spans="5:16" x14ac:dyDescent="0.25">
      <c r="E3" s="19" t="s">
        <v>96</v>
      </c>
      <c r="F3" s="4"/>
      <c r="G3" s="4"/>
      <c r="H3" s="4"/>
      <c r="I3" s="4"/>
      <c r="J3" s="4"/>
      <c r="K3" s="4"/>
      <c r="L3" s="4"/>
      <c r="M3" s="4"/>
    </row>
    <row r="4" spans="5:16" x14ac:dyDescent="0.25">
      <c r="E4" s="22" t="s">
        <v>42</v>
      </c>
      <c r="F4" s="4"/>
      <c r="G4" s="4"/>
      <c r="H4" s="4"/>
      <c r="I4" s="4"/>
      <c r="J4" s="8" t="s">
        <v>77</v>
      </c>
      <c r="K4" s="8"/>
      <c r="L4" s="8"/>
      <c r="M4" s="8"/>
    </row>
    <row r="5" spans="5:16" x14ac:dyDescent="0.25">
      <c r="E5" s="22" t="s">
        <v>0</v>
      </c>
      <c r="F5" s="23">
        <v>3.85</v>
      </c>
      <c r="G5" s="23">
        <v>2.96</v>
      </c>
      <c r="H5" s="23">
        <v>5.01</v>
      </c>
      <c r="I5" s="24" t="s">
        <v>74</v>
      </c>
      <c r="J5" s="23">
        <v>3.97261</v>
      </c>
      <c r="K5" s="23">
        <v>3.0010490000000001</v>
      </c>
      <c r="L5" s="23">
        <v>5.2587060000000001</v>
      </c>
      <c r="M5" s="25" t="s">
        <v>74</v>
      </c>
    </row>
    <row r="6" spans="5:16" x14ac:dyDescent="0.25">
      <c r="E6" s="19" t="s">
        <v>97</v>
      </c>
      <c r="F6" s="23"/>
      <c r="G6" s="23"/>
      <c r="H6" s="23"/>
      <c r="I6" s="24"/>
      <c r="J6" s="23"/>
      <c r="K6" s="23"/>
      <c r="L6" s="23"/>
      <c r="M6" s="25"/>
    </row>
    <row r="7" spans="5:16" x14ac:dyDescent="0.25">
      <c r="E7" s="22">
        <v>15</v>
      </c>
      <c r="F7" s="8" t="s">
        <v>77</v>
      </c>
      <c r="G7" s="23"/>
      <c r="H7" s="23"/>
      <c r="I7" s="24"/>
      <c r="J7" s="23" t="s">
        <v>77</v>
      </c>
      <c r="K7" s="23"/>
      <c r="L7" s="23"/>
      <c r="M7" s="25"/>
    </row>
    <row r="8" spans="5:16" x14ac:dyDescent="0.25">
      <c r="E8" s="22">
        <v>16</v>
      </c>
      <c r="F8" s="23">
        <v>1.1859999999999999</v>
      </c>
      <c r="G8" s="23">
        <v>0.83618099999999995</v>
      </c>
      <c r="H8" s="23">
        <v>1.6821680000000001</v>
      </c>
      <c r="I8" s="24">
        <v>0.33800000000000002</v>
      </c>
      <c r="J8" s="23">
        <v>1.1131549999999999</v>
      </c>
      <c r="K8" s="23">
        <v>0.78601339999999997</v>
      </c>
      <c r="L8" s="23">
        <v>1.5764549999999999</v>
      </c>
      <c r="M8" s="25">
        <v>0.54500000000000004</v>
      </c>
    </row>
    <row r="9" spans="5:16" x14ac:dyDescent="0.25">
      <c r="E9" s="22">
        <v>17</v>
      </c>
      <c r="F9" s="23">
        <v>1.269496</v>
      </c>
      <c r="G9" s="23">
        <v>0.94049159999999998</v>
      </c>
      <c r="H9" s="23">
        <v>1.7135940000000001</v>
      </c>
      <c r="I9" s="24">
        <v>0.11899999999999999</v>
      </c>
      <c r="J9" s="23">
        <v>0.99412299999999998</v>
      </c>
      <c r="K9" s="23">
        <v>0.68772789999999995</v>
      </c>
      <c r="L9" s="23">
        <v>1.4370229999999999</v>
      </c>
      <c r="M9" s="25">
        <v>0.97499999999999998</v>
      </c>
      <c r="P9" s="1" t="s">
        <v>100</v>
      </c>
    </row>
    <row r="10" spans="5:16" x14ac:dyDescent="0.25">
      <c r="E10" s="22">
        <v>18</v>
      </c>
      <c r="F10" s="23">
        <v>0.9411465</v>
      </c>
      <c r="G10" s="23">
        <v>0.63728419999999997</v>
      </c>
      <c r="H10" s="23">
        <v>1.389893</v>
      </c>
      <c r="I10" s="24">
        <v>0.76</v>
      </c>
      <c r="J10" s="23">
        <v>0.74284680000000003</v>
      </c>
      <c r="K10" s="23">
        <v>0.45947710000000003</v>
      </c>
      <c r="L10" s="23">
        <v>1.200977</v>
      </c>
      <c r="M10" s="25">
        <v>0.224</v>
      </c>
    </row>
    <row r="11" spans="5:16" x14ac:dyDescent="0.25">
      <c r="E11" s="22">
        <v>19</v>
      </c>
      <c r="F11" s="23">
        <v>0.9846492</v>
      </c>
      <c r="G11" s="23">
        <v>0.66489140000000002</v>
      </c>
      <c r="H11" s="23">
        <v>1.4581839999999999</v>
      </c>
      <c r="I11" s="24">
        <v>0.93799999999999994</v>
      </c>
      <c r="J11" s="23">
        <v>0.66293170000000001</v>
      </c>
      <c r="K11" s="23">
        <v>0.40999950000000002</v>
      </c>
      <c r="L11" s="23">
        <v>1.0719000000000001</v>
      </c>
      <c r="M11" s="25">
        <v>9.2999999999999999E-2</v>
      </c>
    </row>
    <row r="12" spans="5:16" x14ac:dyDescent="0.25">
      <c r="E12" s="19" t="s">
        <v>98</v>
      </c>
      <c r="F12" s="23"/>
      <c r="G12" s="23"/>
      <c r="H12" s="23"/>
      <c r="I12" s="24"/>
      <c r="J12" s="23"/>
      <c r="K12" s="23"/>
      <c r="L12" s="23"/>
      <c r="M12" s="25"/>
    </row>
    <row r="13" spans="5:16" x14ac:dyDescent="0.25">
      <c r="E13" s="22" t="s">
        <v>43</v>
      </c>
      <c r="F13" s="8" t="s">
        <v>77</v>
      </c>
      <c r="G13" s="23"/>
      <c r="H13" s="23"/>
      <c r="I13" s="24"/>
      <c r="J13" s="23" t="s">
        <v>77</v>
      </c>
      <c r="K13" s="23"/>
      <c r="L13" s="23"/>
      <c r="M13" s="25"/>
    </row>
    <row r="14" spans="5:16" x14ac:dyDescent="0.25">
      <c r="E14" s="22" t="s">
        <v>1</v>
      </c>
      <c r="F14" s="23">
        <v>0.84282509999999999</v>
      </c>
      <c r="G14" s="23">
        <v>0.67327110000000001</v>
      </c>
      <c r="H14" s="23">
        <v>1.0550790000000001</v>
      </c>
      <c r="I14" s="24">
        <v>0.13500000000000001</v>
      </c>
      <c r="J14" s="23">
        <v>0.72711360000000003</v>
      </c>
      <c r="K14" s="23">
        <v>0.55578530000000004</v>
      </c>
      <c r="L14" s="23">
        <v>0.9512562</v>
      </c>
      <c r="M14" s="25">
        <v>0.02</v>
      </c>
    </row>
    <row r="15" spans="5:16" x14ac:dyDescent="0.25">
      <c r="E15" s="19" t="s">
        <v>55</v>
      </c>
      <c r="F15" s="23"/>
      <c r="G15" s="23"/>
      <c r="H15" s="23"/>
      <c r="I15" s="24"/>
      <c r="J15" s="23"/>
      <c r="K15" s="23"/>
      <c r="L15" s="23"/>
      <c r="M15" s="25"/>
    </row>
    <row r="16" spans="5:16" x14ac:dyDescent="0.25">
      <c r="E16" s="22" t="s">
        <v>75</v>
      </c>
      <c r="F16" s="8" t="s">
        <v>77</v>
      </c>
      <c r="G16" s="23"/>
      <c r="H16" s="23"/>
      <c r="I16" s="24"/>
      <c r="J16" s="23" t="s">
        <v>77</v>
      </c>
      <c r="K16" s="23"/>
      <c r="L16" s="23"/>
      <c r="M16" s="25"/>
    </row>
    <row r="17" spans="5:18" x14ac:dyDescent="0.25">
      <c r="E17" s="26" t="s">
        <v>56</v>
      </c>
      <c r="F17" s="23">
        <v>1.1781980000000001</v>
      </c>
      <c r="G17" s="23">
        <v>0.78331709999999999</v>
      </c>
      <c r="H17" s="23">
        <v>1.7721439999999999</v>
      </c>
      <c r="I17" s="24">
        <v>0.43</v>
      </c>
      <c r="J17" s="23">
        <v>1.126234</v>
      </c>
      <c r="K17" s="23">
        <v>0.71772550000000002</v>
      </c>
      <c r="L17" s="23">
        <v>1.767253</v>
      </c>
      <c r="M17" s="25">
        <v>0.60399999999999998</v>
      </c>
    </row>
    <row r="18" spans="5:18" x14ac:dyDescent="0.25">
      <c r="E18" s="22" t="s">
        <v>76</v>
      </c>
      <c r="F18" s="23">
        <v>1.574074</v>
      </c>
      <c r="G18" s="23">
        <v>1.0236259999999999</v>
      </c>
      <c r="H18" s="23">
        <v>2.4205220000000001</v>
      </c>
      <c r="I18" s="24">
        <v>3.9E-2</v>
      </c>
      <c r="J18" s="23">
        <v>1.1196219999999999</v>
      </c>
      <c r="K18" s="23">
        <v>0.68753560000000002</v>
      </c>
      <c r="L18" s="23">
        <v>1.823256</v>
      </c>
      <c r="M18" s="25">
        <v>0.64900000000000002</v>
      </c>
    </row>
    <row r="19" spans="5:18" x14ac:dyDescent="0.25">
      <c r="E19" s="19" t="s">
        <v>99</v>
      </c>
      <c r="F19" s="23"/>
      <c r="G19" s="23"/>
      <c r="H19" s="23"/>
      <c r="I19" s="24"/>
      <c r="J19" s="23"/>
      <c r="K19" s="23"/>
      <c r="L19" s="23"/>
      <c r="M19" s="25"/>
    </row>
    <row r="20" spans="5:18" x14ac:dyDescent="0.25">
      <c r="E20" s="22" t="s">
        <v>42</v>
      </c>
      <c r="F20" s="8" t="s">
        <v>77</v>
      </c>
      <c r="G20" s="23"/>
      <c r="H20" s="23"/>
      <c r="I20" s="24"/>
      <c r="J20" s="8" t="s">
        <v>77</v>
      </c>
      <c r="K20" s="23"/>
      <c r="L20" s="23"/>
      <c r="M20" s="25"/>
    </row>
    <row r="21" spans="5:18" x14ac:dyDescent="0.25">
      <c r="E21" s="22" t="s">
        <v>0</v>
      </c>
      <c r="F21" s="23">
        <v>1.932142</v>
      </c>
      <c r="G21" s="23">
        <v>1.5166040000000001</v>
      </c>
      <c r="H21" s="23">
        <v>2.4615330000000002</v>
      </c>
      <c r="I21" s="24" t="s">
        <v>74</v>
      </c>
      <c r="J21" s="23">
        <v>1.9478310000000001</v>
      </c>
      <c r="K21" s="23">
        <v>1.4324939999999999</v>
      </c>
      <c r="L21" s="23">
        <v>2.6485609999999999</v>
      </c>
      <c r="M21" s="25" t="s">
        <v>74</v>
      </c>
    </row>
    <row r="22" spans="5:18" x14ac:dyDescent="0.25">
      <c r="E22" s="19" t="s">
        <v>102</v>
      </c>
      <c r="F22" s="23"/>
      <c r="G22" s="23"/>
      <c r="H22" s="23"/>
      <c r="I22" s="24"/>
      <c r="J22" s="23"/>
      <c r="K22" s="23"/>
      <c r="L22" s="23"/>
      <c r="M22" s="25"/>
    </row>
    <row r="23" spans="5:18" x14ac:dyDescent="0.25">
      <c r="E23" s="22" t="s">
        <v>42</v>
      </c>
      <c r="F23" s="8" t="s">
        <v>77</v>
      </c>
      <c r="G23" s="23"/>
      <c r="H23" s="23"/>
      <c r="I23" s="24"/>
      <c r="J23" s="23" t="s">
        <v>77</v>
      </c>
      <c r="K23" s="23"/>
      <c r="L23" s="23"/>
      <c r="M23" s="25"/>
    </row>
    <row r="24" spans="5:18" x14ac:dyDescent="0.25">
      <c r="E24" s="22" t="s">
        <v>0</v>
      </c>
      <c r="F24" s="23">
        <v>2.3181620000000001</v>
      </c>
      <c r="G24" s="23">
        <v>1.8111569999999999</v>
      </c>
      <c r="H24" s="23">
        <v>2.9670960000000002</v>
      </c>
      <c r="I24" s="24" t="s">
        <v>74</v>
      </c>
      <c r="J24" s="23">
        <v>1.8459030000000001</v>
      </c>
      <c r="K24" s="23">
        <v>1.3180670000000001</v>
      </c>
      <c r="L24" s="23">
        <v>2.5851169999999999</v>
      </c>
      <c r="M24" s="25" t="s">
        <v>74</v>
      </c>
    </row>
    <row r="25" spans="5:18" x14ac:dyDescent="0.25">
      <c r="E25" s="19" t="s">
        <v>103</v>
      </c>
      <c r="F25" s="23"/>
      <c r="G25" s="23"/>
      <c r="H25" s="23"/>
      <c r="I25" s="24"/>
      <c r="J25" s="23"/>
      <c r="K25" s="23"/>
      <c r="L25" s="23"/>
      <c r="M25" s="25"/>
    </row>
    <row r="26" spans="5:18" x14ac:dyDescent="0.25">
      <c r="E26" s="22" t="s">
        <v>50</v>
      </c>
      <c r="F26" s="8" t="s">
        <v>77</v>
      </c>
      <c r="G26" s="23"/>
      <c r="H26" s="23"/>
      <c r="I26" s="24"/>
      <c r="J26" s="23" t="s">
        <v>77</v>
      </c>
      <c r="K26" s="23"/>
      <c r="L26" s="23"/>
      <c r="M26" s="25"/>
    </row>
    <row r="27" spans="5:18" x14ac:dyDescent="0.25">
      <c r="E27" s="22" t="s">
        <v>3</v>
      </c>
      <c r="F27" s="23">
        <v>1.3427990000000001</v>
      </c>
      <c r="G27" s="23">
        <v>0.91112550000000003</v>
      </c>
      <c r="H27" s="23">
        <v>1.9789909999999999</v>
      </c>
      <c r="I27" s="24">
        <v>0.13600000000000001</v>
      </c>
      <c r="J27" s="23">
        <v>2.2172960000000002</v>
      </c>
      <c r="K27" s="23">
        <v>1.4847790000000001</v>
      </c>
      <c r="L27" s="23">
        <v>3.3111989999999998</v>
      </c>
      <c r="M27" s="25" t="s">
        <v>74</v>
      </c>
    </row>
    <row r="28" spans="5:18" x14ac:dyDescent="0.25">
      <c r="E28" s="22" t="s">
        <v>4</v>
      </c>
      <c r="F28" s="23">
        <v>1.3001400000000001</v>
      </c>
      <c r="G28" s="23">
        <v>0.88551139999999995</v>
      </c>
      <c r="H28" s="23">
        <v>1.908914</v>
      </c>
      <c r="I28" s="24">
        <v>0.18</v>
      </c>
      <c r="J28" s="23">
        <v>1.2863119999999999</v>
      </c>
      <c r="K28" s="23">
        <v>0.74491169999999995</v>
      </c>
      <c r="L28" s="23">
        <v>2.2212000000000001</v>
      </c>
      <c r="M28" s="25">
        <v>0.36499999999999999</v>
      </c>
      <c r="Q28" s="31"/>
      <c r="R28" s="31"/>
    </row>
    <row r="29" spans="5:18" x14ac:dyDescent="0.25">
      <c r="E29" s="22" t="s">
        <v>5</v>
      </c>
      <c r="F29" s="23">
        <v>1.167681</v>
      </c>
      <c r="G29" s="23">
        <v>0.82144439999999996</v>
      </c>
      <c r="H29" s="23">
        <v>1.6598550000000001</v>
      </c>
      <c r="I29" s="24">
        <v>0.38700000000000001</v>
      </c>
      <c r="J29" s="23">
        <v>1.4742200000000001</v>
      </c>
      <c r="K29" s="23">
        <v>0.94567659999999998</v>
      </c>
      <c r="L29" s="23">
        <v>2.298171</v>
      </c>
      <c r="M29" s="25">
        <v>8.5999999999999993E-2</v>
      </c>
      <c r="Q29" s="31"/>
      <c r="R29" s="31"/>
    </row>
    <row r="30" spans="5:18" x14ac:dyDescent="0.25">
      <c r="E30" s="22" t="s">
        <v>6</v>
      </c>
      <c r="F30" s="23">
        <v>0.63593889999999997</v>
      </c>
      <c r="G30" s="23">
        <v>0.4401178</v>
      </c>
      <c r="H30" s="23">
        <v>0.91888650000000005</v>
      </c>
      <c r="I30" s="24">
        <v>1.6E-2</v>
      </c>
      <c r="J30" s="23">
        <v>1.6213850000000001</v>
      </c>
      <c r="K30" s="23">
        <v>0.98624460000000003</v>
      </c>
      <c r="L30" s="23">
        <v>2.6655570000000002</v>
      </c>
      <c r="M30" s="25">
        <v>5.7000000000000002E-2</v>
      </c>
      <c r="Q30" s="31"/>
      <c r="R30" s="31"/>
    </row>
    <row r="31" spans="5:18" x14ac:dyDescent="0.25">
      <c r="E31" s="22" t="s">
        <v>7</v>
      </c>
      <c r="F31" s="23">
        <v>1.0962270000000001</v>
      </c>
      <c r="G31" s="23">
        <v>0.76243260000000002</v>
      </c>
      <c r="H31" s="23">
        <v>1.5761579999999999</v>
      </c>
      <c r="I31" s="24">
        <v>0.61899999999999999</v>
      </c>
      <c r="J31" s="23">
        <v>2.1275680000000001</v>
      </c>
      <c r="K31" s="23">
        <v>1.43577</v>
      </c>
      <c r="L31" s="23">
        <v>3.1526969999999999</v>
      </c>
      <c r="M31" s="25" t="s">
        <v>74</v>
      </c>
      <c r="Q31" s="31"/>
      <c r="R31" s="31"/>
    </row>
    <row r="32" spans="5:18" x14ac:dyDescent="0.25">
      <c r="E32" s="22" t="s">
        <v>8</v>
      </c>
      <c r="F32" s="23">
        <v>1.257185</v>
      </c>
      <c r="G32" s="23">
        <v>0.89993350000000005</v>
      </c>
      <c r="H32" s="23">
        <v>1.7562549999999999</v>
      </c>
      <c r="I32" s="24">
        <v>0.17899999999999999</v>
      </c>
      <c r="J32" s="23">
        <v>0.62448139999999996</v>
      </c>
      <c r="K32" s="23">
        <v>0.29688209999999998</v>
      </c>
      <c r="L32" s="23">
        <v>1.3135749999999999</v>
      </c>
      <c r="M32" s="25">
        <v>0.214</v>
      </c>
      <c r="Q32" s="31"/>
      <c r="R32" s="31"/>
    </row>
    <row r="33" spans="5:21" x14ac:dyDescent="0.25">
      <c r="E33" s="22" t="s">
        <v>9</v>
      </c>
      <c r="F33" s="23">
        <v>1.7123809999999999</v>
      </c>
      <c r="G33" s="23">
        <v>1.2089350000000001</v>
      </c>
      <c r="H33" s="23">
        <v>2.425481</v>
      </c>
      <c r="I33" s="24">
        <v>3.0000000000000001E-3</v>
      </c>
      <c r="J33" s="23">
        <v>1.757147</v>
      </c>
      <c r="K33" s="23">
        <v>1.0876459999999999</v>
      </c>
      <c r="L33" s="23">
        <v>2.8387570000000002</v>
      </c>
      <c r="M33" s="25">
        <v>2.1000000000000001E-2</v>
      </c>
      <c r="Q33" s="31"/>
      <c r="R33" s="31"/>
    </row>
    <row r="34" spans="5:21" x14ac:dyDescent="0.25">
      <c r="Q34" s="31"/>
      <c r="R34" s="31"/>
    </row>
    <row r="35" spans="5:21" x14ac:dyDescent="0.25">
      <c r="Q35" s="1" t="s">
        <v>167</v>
      </c>
    </row>
    <row r="36" spans="5:21" x14ac:dyDescent="0.25">
      <c r="G36" s="2"/>
      <c r="Q36" s="1" t="s">
        <v>49</v>
      </c>
      <c r="R36" s="1">
        <v>1.228556</v>
      </c>
      <c r="S36" s="1">
        <v>0.94842590000000004</v>
      </c>
      <c r="T36" s="1">
        <v>1.591426</v>
      </c>
      <c r="U36" s="1">
        <v>0.11899999999999999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4CC2-5991-4A89-9F14-81741931F72D}">
  <dimension ref="E6:G16"/>
  <sheetViews>
    <sheetView zoomScale="115" zoomScaleNormal="115" workbookViewId="0">
      <selection activeCell="F6" sqref="F6:G14"/>
    </sheetView>
  </sheetViews>
  <sheetFormatPr defaultRowHeight="15" x14ac:dyDescent="0.25"/>
  <cols>
    <col min="6" max="6" width="18.42578125" customWidth="1"/>
    <col min="7" max="7" width="14.85546875" customWidth="1"/>
  </cols>
  <sheetData>
    <row r="6" spans="5:7" x14ac:dyDescent="0.25">
      <c r="F6" t="s">
        <v>168</v>
      </c>
      <c r="G6" t="s">
        <v>169</v>
      </c>
    </row>
    <row r="7" spans="5:7" x14ac:dyDescent="0.25">
      <c r="F7" s="35" t="s">
        <v>170</v>
      </c>
      <c r="G7" s="12">
        <v>48.6</v>
      </c>
    </row>
    <row r="8" spans="5:7" x14ac:dyDescent="0.25">
      <c r="F8" s="35" t="s">
        <v>171</v>
      </c>
      <c r="G8" s="12">
        <v>39</v>
      </c>
    </row>
    <row r="9" spans="5:7" x14ac:dyDescent="0.25">
      <c r="F9" s="35" t="s">
        <v>172</v>
      </c>
      <c r="G9" s="12">
        <v>9.9700000000000006</v>
      </c>
    </row>
    <row r="10" spans="5:7" x14ac:dyDescent="0.25">
      <c r="F10" s="35" t="s">
        <v>173</v>
      </c>
      <c r="G10" s="12">
        <v>1.99</v>
      </c>
    </row>
    <row r="11" spans="5:7" x14ac:dyDescent="0.25">
      <c r="F11" s="35" t="s">
        <v>174</v>
      </c>
      <c r="G11" s="12">
        <v>0.44</v>
      </c>
    </row>
    <row r="12" spans="5:7" x14ac:dyDescent="0.25">
      <c r="F12" t="s">
        <v>51</v>
      </c>
    </row>
    <row r="13" spans="5:7" x14ac:dyDescent="0.25">
      <c r="F13" s="34" t="s">
        <v>42</v>
      </c>
      <c r="G13">
        <v>87.6</v>
      </c>
    </row>
    <row r="14" spans="5:7" x14ac:dyDescent="0.25">
      <c r="F14" s="34" t="s">
        <v>0</v>
      </c>
      <c r="G14">
        <v>12.4</v>
      </c>
    </row>
    <row r="15" spans="5:7" x14ac:dyDescent="0.25">
      <c r="E15" s="33"/>
    </row>
    <row r="16" spans="5:7" x14ac:dyDescent="0.25">
      <c r="E16" s="3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427E-0523-42C7-B8BA-91931C379AC7}">
  <dimension ref="E3:AA28"/>
  <sheetViews>
    <sheetView topLeftCell="G9" zoomScaleNormal="100" workbookViewId="0">
      <selection activeCell="G23" sqref="G23:K28"/>
    </sheetView>
  </sheetViews>
  <sheetFormatPr defaultRowHeight="15" x14ac:dyDescent="0.25"/>
  <cols>
    <col min="5" max="5" width="23.85546875" customWidth="1"/>
    <col min="6" max="6" width="11.28515625" customWidth="1"/>
    <col min="7" max="7" width="24.7109375" customWidth="1"/>
    <col min="8" max="8" width="19.5703125" customWidth="1"/>
    <col min="9" max="9" width="16.5703125" customWidth="1"/>
    <col min="10" max="10" width="20.85546875" customWidth="1"/>
    <col min="11" max="11" width="12.5703125" customWidth="1"/>
    <col min="13" max="13" width="9.140625" customWidth="1"/>
    <col min="15" max="15" width="27.42578125" customWidth="1"/>
    <col min="16" max="16" width="17" customWidth="1"/>
  </cols>
  <sheetData>
    <row r="3" spans="5:27" x14ac:dyDescent="0.25">
      <c r="J3" t="s">
        <v>93</v>
      </c>
      <c r="K3" s="3" t="s">
        <v>87</v>
      </c>
    </row>
    <row r="4" spans="5:27" ht="15.75" x14ac:dyDescent="0.25">
      <c r="I4" s="15" t="s">
        <v>69</v>
      </c>
      <c r="J4" s="5" t="s">
        <v>43</v>
      </c>
      <c r="K4">
        <v>8.5</v>
      </c>
    </row>
    <row r="5" spans="5:27" ht="15.75" x14ac:dyDescent="0.25">
      <c r="E5" s="43" t="s">
        <v>69</v>
      </c>
      <c r="F5" s="44"/>
      <c r="I5" s="15" t="s">
        <v>69</v>
      </c>
      <c r="J5" s="5" t="s">
        <v>1</v>
      </c>
      <c r="K5">
        <v>7.3</v>
      </c>
    </row>
    <row r="6" spans="5:27" ht="15.75" x14ac:dyDescent="0.25">
      <c r="E6" s="5" t="s">
        <v>43</v>
      </c>
      <c r="F6" s="5" t="s">
        <v>1</v>
      </c>
      <c r="H6" s="14"/>
      <c r="J6" s="5"/>
    </row>
    <row r="7" spans="5:27" ht="15.75" x14ac:dyDescent="0.25">
      <c r="E7">
        <v>8.5</v>
      </c>
      <c r="F7">
        <v>7.3</v>
      </c>
      <c r="H7" s="15" t="s">
        <v>78</v>
      </c>
      <c r="I7" s="18" t="s">
        <v>92</v>
      </c>
      <c r="J7" s="5" t="s">
        <v>43</v>
      </c>
      <c r="K7" t="s">
        <v>79</v>
      </c>
      <c r="N7" s="49"/>
      <c r="O7" s="50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5:27" ht="15.75" x14ac:dyDescent="0.25">
      <c r="H8" s="16"/>
      <c r="I8" s="18" t="s">
        <v>92</v>
      </c>
      <c r="J8" s="5" t="s">
        <v>1</v>
      </c>
      <c r="K8">
        <v>6.6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5:27" ht="15.75" x14ac:dyDescent="0.25">
      <c r="H9" s="16"/>
      <c r="I9" s="18" t="s">
        <v>80</v>
      </c>
      <c r="J9" s="5" t="s">
        <v>43</v>
      </c>
      <c r="K9">
        <v>3</v>
      </c>
    </row>
    <row r="10" spans="5:27" ht="15.75" x14ac:dyDescent="0.25">
      <c r="H10" s="16"/>
      <c r="I10" s="18" t="s">
        <v>80</v>
      </c>
      <c r="J10" s="5" t="s">
        <v>1</v>
      </c>
      <c r="K10">
        <v>4.7</v>
      </c>
    </row>
    <row r="11" spans="5:27" ht="15.75" x14ac:dyDescent="0.25">
      <c r="H11" s="16"/>
      <c r="I11" s="18" t="s">
        <v>81</v>
      </c>
      <c r="J11" s="5" t="s">
        <v>43</v>
      </c>
      <c r="K11">
        <v>0.2</v>
      </c>
    </row>
    <row r="12" spans="5:27" ht="15.75" x14ac:dyDescent="0.25">
      <c r="H12" s="16"/>
      <c r="I12" s="18" t="s">
        <v>81</v>
      </c>
      <c r="J12" s="5" t="s">
        <v>1</v>
      </c>
      <c r="K12">
        <v>0.8</v>
      </c>
    </row>
    <row r="13" spans="5:27" ht="15.75" x14ac:dyDescent="0.25">
      <c r="H13" s="16"/>
      <c r="I13" s="18" t="s">
        <v>82</v>
      </c>
      <c r="J13" s="5" t="s">
        <v>43</v>
      </c>
      <c r="K13">
        <v>14.1</v>
      </c>
    </row>
    <row r="14" spans="5:27" ht="15.75" x14ac:dyDescent="0.25">
      <c r="H14" s="16"/>
      <c r="I14" s="18" t="s">
        <v>82</v>
      </c>
      <c r="J14" s="5" t="s">
        <v>1</v>
      </c>
      <c r="K14">
        <v>6.6</v>
      </c>
    </row>
    <row r="15" spans="5:27" ht="15.75" x14ac:dyDescent="0.25">
      <c r="H15" s="16"/>
      <c r="I15" s="18" t="s">
        <v>83</v>
      </c>
      <c r="J15" s="5" t="s">
        <v>43</v>
      </c>
      <c r="K15">
        <v>8.4</v>
      </c>
    </row>
    <row r="16" spans="5:27" ht="15.75" x14ac:dyDescent="0.25">
      <c r="H16" s="16"/>
      <c r="I16" s="18" t="s">
        <v>83</v>
      </c>
      <c r="J16" s="5" t="s">
        <v>1</v>
      </c>
      <c r="K16">
        <v>7.7</v>
      </c>
    </row>
    <row r="17" spans="7:13" ht="15.75" x14ac:dyDescent="0.25">
      <c r="H17" s="16"/>
      <c r="I17" s="18" t="s">
        <v>84</v>
      </c>
      <c r="J17" s="5" t="s">
        <v>43</v>
      </c>
      <c r="K17">
        <v>81.099999999999994</v>
      </c>
    </row>
    <row r="18" spans="7:13" ht="15.75" x14ac:dyDescent="0.25">
      <c r="H18" s="17"/>
      <c r="I18" s="18" t="s">
        <v>84</v>
      </c>
      <c r="J18" s="5" t="s">
        <v>1</v>
      </c>
      <c r="K18">
        <v>79.2</v>
      </c>
    </row>
    <row r="21" spans="7:13" ht="15.75" x14ac:dyDescent="0.25">
      <c r="J21" s="5"/>
    </row>
    <row r="22" spans="7:13" ht="15.75" x14ac:dyDescent="0.25">
      <c r="J22" s="5"/>
    </row>
    <row r="23" spans="7:13" x14ac:dyDescent="0.25">
      <c r="H23" s="13" t="s">
        <v>86</v>
      </c>
      <c r="I23" s="13" t="s">
        <v>87</v>
      </c>
      <c r="J23" s="13" t="s">
        <v>72</v>
      </c>
      <c r="K23" s="13" t="s">
        <v>73</v>
      </c>
    </row>
    <row r="24" spans="7:13" ht="15.75" x14ac:dyDescent="0.25">
      <c r="G24" s="46" t="s">
        <v>90</v>
      </c>
      <c r="H24" s="9" t="s">
        <v>42</v>
      </c>
      <c r="I24">
        <v>10.7</v>
      </c>
      <c r="J24">
        <v>9.6</v>
      </c>
      <c r="K24">
        <v>12</v>
      </c>
      <c r="L24">
        <f>I24-J24</f>
        <v>1.0999999999999996</v>
      </c>
      <c r="M24">
        <f>K24-I24</f>
        <v>1.3000000000000007</v>
      </c>
    </row>
    <row r="25" spans="7:13" x14ac:dyDescent="0.25">
      <c r="G25" s="47"/>
      <c r="H25" t="s">
        <v>0</v>
      </c>
      <c r="I25">
        <v>31.62</v>
      </c>
      <c r="J25">
        <v>27</v>
      </c>
      <c r="K25">
        <v>36.6</v>
      </c>
      <c r="L25">
        <f t="shared" ref="L25:L28" si="0">I25-J25</f>
        <v>4.620000000000001</v>
      </c>
      <c r="M25">
        <f t="shared" ref="M25:M28" si="1">K25-I25</f>
        <v>4.9800000000000004</v>
      </c>
    </row>
    <row r="26" spans="7:13" x14ac:dyDescent="0.25">
      <c r="G26" s="48" t="s">
        <v>91</v>
      </c>
      <c r="H26" t="s">
        <v>85</v>
      </c>
      <c r="I26" s="12">
        <v>23.2</v>
      </c>
      <c r="J26">
        <v>14.7</v>
      </c>
      <c r="K26">
        <v>34.6</v>
      </c>
      <c r="L26">
        <f t="shared" si="0"/>
        <v>8.5</v>
      </c>
      <c r="M26">
        <f t="shared" si="1"/>
        <v>11.400000000000002</v>
      </c>
    </row>
    <row r="27" spans="7:13" x14ac:dyDescent="0.25">
      <c r="G27" s="48"/>
      <c r="H27" t="s">
        <v>88</v>
      </c>
      <c r="I27" s="12">
        <v>29.29</v>
      </c>
      <c r="J27">
        <v>22.3</v>
      </c>
      <c r="K27">
        <v>37.4</v>
      </c>
      <c r="L27">
        <f t="shared" si="0"/>
        <v>6.9899999999999984</v>
      </c>
      <c r="M27">
        <f t="shared" si="1"/>
        <v>8.11</v>
      </c>
    </row>
    <row r="28" spans="7:13" x14ac:dyDescent="0.25">
      <c r="G28" s="48"/>
      <c r="H28" t="s">
        <v>89</v>
      </c>
      <c r="I28" s="12">
        <v>38.22</v>
      </c>
      <c r="J28">
        <v>29.3</v>
      </c>
      <c r="K28">
        <v>48</v>
      </c>
      <c r="L28">
        <f t="shared" si="0"/>
        <v>8.9199999999999982</v>
      </c>
      <c r="M28">
        <f t="shared" si="1"/>
        <v>9.7800000000000011</v>
      </c>
    </row>
  </sheetData>
  <mergeCells count="10">
    <mergeCell ref="T7:U7"/>
    <mergeCell ref="V7:W7"/>
    <mergeCell ref="X7:Y7"/>
    <mergeCell ref="Z7:AA7"/>
    <mergeCell ref="N7:O7"/>
    <mergeCell ref="E5:F5"/>
    <mergeCell ref="P7:Q7"/>
    <mergeCell ref="R7:S7"/>
    <mergeCell ref="G24:G25"/>
    <mergeCell ref="G26:G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Graphicals</vt:lpstr>
      <vt:lpstr>Descriptive and Bivariates</vt:lpstr>
      <vt:lpstr>Model</vt:lpstr>
      <vt:lpstr>Model_Cyber</vt:lpstr>
      <vt:lpstr>Sheet1</vt:lpstr>
      <vt:lpstr>Graphicals_setting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Toukir Ahmed Shuvo</dc:creator>
  <cp:lastModifiedBy>Toukir Ahmed Shuvo</cp:lastModifiedBy>
  <dcterms:created xsi:type="dcterms:W3CDTF">2024-05-08T20:37:51Z</dcterms:created>
  <dcterms:modified xsi:type="dcterms:W3CDTF">2024-05-28T12:53:35Z</dcterms:modified>
</cp:coreProperties>
</file>